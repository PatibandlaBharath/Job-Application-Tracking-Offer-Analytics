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4.xml" ContentType="application/vnd.ms-excel.slicer+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timelines/timeline1.xml" ContentType="application/vnd.ms-excel.timelin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style26.xml" ContentType="application/vnd.ms-office.chartstyle+xml"/>
  <Override PartName="/xl/charts/colors26.xml" ContentType="application/vnd.ms-office.chartcolorstyle+xml"/>
  <Override PartName="/xl/charts/chart29.xml" ContentType="application/vnd.openxmlformats-officedocument.drawingml.chart+xml"/>
  <Override PartName="/xl/charts/style27.xml" ContentType="application/vnd.ms-office.chartstyle+xml"/>
  <Override PartName="/xl/charts/colors27.xml" ContentType="application/vnd.ms-office.chartcolorstyle+xml"/>
  <Override PartName="/xl/charts/chart30.xml" ContentType="application/vnd.openxmlformats-officedocument.drawingml.chart+xml"/>
  <Override PartName="/xl/charts/style28.xml" ContentType="application/vnd.ms-office.chartstyle+xml"/>
  <Override PartName="/xl/charts/colors28.xml" ContentType="application/vnd.ms-office.chartcolorstyle+xml"/>
  <Override PartName="/xl/charts/chart31.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bhara\Downloads\"/>
    </mc:Choice>
  </mc:AlternateContent>
  <xr:revisionPtr revIDLastSave="0" documentId="13_ncr:1_{8DDD25E4-8CF1-4EBD-ACD9-822CD281E49D}" xr6:coauthVersionLast="47" xr6:coauthVersionMax="47" xr10:uidLastSave="{00000000-0000-0000-0000-000000000000}"/>
  <bookViews>
    <workbookView xWindow="-120" yWindow="-120" windowWidth="20730" windowHeight="11040" activeTab="4" xr2:uid="{00000000-000D-0000-FFFF-FFFF00000000}"/>
  </bookViews>
  <sheets>
    <sheet name="Job Data" sheetId="1" r:id="rId1"/>
    <sheet name="Dashboard" sheetId="6" r:id="rId2"/>
    <sheet name="Recruitment" sheetId="7" r:id="rId3"/>
    <sheet name="Experience" sheetId="8" r:id="rId4"/>
    <sheet name="Salary" sheetId="9" r:id="rId5"/>
    <sheet name="Pivot Tables" sheetId="2" r:id="rId6"/>
  </sheets>
  <definedNames>
    <definedName name="NativeTimeline_Date_Applied">#N/A</definedName>
    <definedName name="Slicer_Application_Source1">#N/A</definedName>
    <definedName name="Slicer_Company1">#N/A</definedName>
    <definedName name="Slicer_Experience">#N/A</definedName>
    <definedName name="Slicer_Location">#N/A</definedName>
    <definedName name="Slicer_Role">#N/A</definedName>
    <definedName name="Slicer_Status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5" i="2" l="1"/>
  <c r="P82" i="2"/>
  <c r="O82" i="2"/>
  <c r="P81" i="2"/>
  <c r="O81" i="2"/>
  <c r="P80" i="2"/>
  <c r="O80" i="2"/>
  <c r="D36" i="2"/>
  <c r="D34" i="2"/>
</calcChain>
</file>

<file path=xl/sharedStrings.xml><?xml version="1.0" encoding="utf-8"?>
<sst xmlns="http://schemas.openxmlformats.org/spreadsheetml/2006/main" count="1179" uniqueCount="107">
  <si>
    <t>Company</t>
  </si>
  <si>
    <t>Role</t>
  </si>
  <si>
    <t>Status</t>
  </si>
  <si>
    <t>Date Applied</t>
  </si>
  <si>
    <t>Location</t>
  </si>
  <si>
    <t>Salary</t>
  </si>
  <si>
    <t>Experience</t>
  </si>
  <si>
    <t>Education</t>
  </si>
  <si>
    <t>Skills</t>
  </si>
  <si>
    <t>Interview Score</t>
  </si>
  <si>
    <t>Offer Accepted</t>
  </si>
  <si>
    <t>Notice Period</t>
  </si>
  <si>
    <t>Current CTC</t>
  </si>
  <si>
    <t>Expected CTC</t>
  </si>
  <si>
    <t>Recruiter Name</t>
  </si>
  <si>
    <t>Application Source</t>
  </si>
  <si>
    <t>HCL</t>
  </si>
  <si>
    <t>Analyst</t>
  </si>
  <si>
    <t>Rejected</t>
  </si>
  <si>
    <t>Bangalore</t>
  </si>
  <si>
    <t>B.Tech</t>
  </si>
  <si>
    <t>Finance;Excel</t>
  </si>
  <si>
    <t>No</t>
  </si>
  <si>
    <t>Karthik</t>
  </si>
  <si>
    <t>Naukri</t>
  </si>
  <si>
    <t>TCS</t>
  </si>
  <si>
    <t>Manager</t>
  </si>
  <si>
    <t>Offer</t>
  </si>
  <si>
    <t>Mysore</t>
  </si>
  <si>
    <t>Java;SQL</t>
  </si>
  <si>
    <t>Yes</t>
  </si>
  <si>
    <t>Neha</t>
  </si>
  <si>
    <t>LinkedIn</t>
  </si>
  <si>
    <t>Google</t>
  </si>
  <si>
    <t>SDE</t>
  </si>
  <si>
    <t>Interview</t>
  </si>
  <si>
    <t>Chennai</t>
  </si>
  <si>
    <t>MBA</t>
  </si>
  <si>
    <t>Cloud;AWS</t>
  </si>
  <si>
    <t>Vikram</t>
  </si>
  <si>
    <t>Tester</t>
  </si>
  <si>
    <t>BBA</t>
  </si>
  <si>
    <t>Testing;Selenium</t>
  </si>
  <si>
    <t>Simran</t>
  </si>
  <si>
    <t>Referral</t>
  </si>
  <si>
    <t>Capgemini</t>
  </si>
  <si>
    <t>Python;AI</t>
  </si>
  <si>
    <t>Nisha</t>
  </si>
  <si>
    <t>Zoho</t>
  </si>
  <si>
    <t>Applied</t>
  </si>
  <si>
    <t>Noida</t>
  </si>
  <si>
    <t>Deepak</t>
  </si>
  <si>
    <t>Paytm</t>
  </si>
  <si>
    <t>Engineer</t>
  </si>
  <si>
    <t>Mumbai</t>
  </si>
  <si>
    <t>Arjun</t>
  </si>
  <si>
    <t>Accenture</t>
  </si>
  <si>
    <t>Pune</t>
  </si>
  <si>
    <t>Excel;SQL</t>
  </si>
  <si>
    <t>Zomato</t>
  </si>
  <si>
    <t>Operations</t>
  </si>
  <si>
    <t>Meena</t>
  </si>
  <si>
    <t>Developer</t>
  </si>
  <si>
    <t>B.Sc</t>
  </si>
  <si>
    <t>Swiggy</t>
  </si>
  <si>
    <t>Pooja</t>
  </si>
  <si>
    <t>Microsoft</t>
  </si>
  <si>
    <t>Deloitte</t>
  </si>
  <si>
    <t>Consultant</t>
  </si>
  <si>
    <t>Sneha</t>
  </si>
  <si>
    <t>Flipkart</t>
  </si>
  <si>
    <t>JavaScript</t>
  </si>
  <si>
    <t>Kiran</t>
  </si>
  <si>
    <t>Hyderabad</t>
  </si>
  <si>
    <t>Infosys</t>
  </si>
  <si>
    <t>Rohit</t>
  </si>
  <si>
    <t>Sonal</t>
  </si>
  <si>
    <t>Ajay</t>
  </si>
  <si>
    <t>Ashok</t>
  </si>
  <si>
    <t>Wipro</t>
  </si>
  <si>
    <t>Rahul</t>
  </si>
  <si>
    <t>Oracle</t>
  </si>
  <si>
    <t>Amit</t>
  </si>
  <si>
    <t>IBM</t>
  </si>
  <si>
    <t>Ravi</t>
  </si>
  <si>
    <t>Divya</t>
  </si>
  <si>
    <t>Anjali</t>
  </si>
  <si>
    <t>Amazon</t>
  </si>
  <si>
    <t>Tech Mahindra</t>
  </si>
  <si>
    <t>Cognizant</t>
  </si>
  <si>
    <t>Row Labels</t>
  </si>
  <si>
    <t>Grand Total</t>
  </si>
  <si>
    <t>Count of Status</t>
  </si>
  <si>
    <t>Column Labels</t>
  </si>
  <si>
    <t>Average of Salary</t>
  </si>
  <si>
    <t>Max of Salary</t>
  </si>
  <si>
    <t>Min of Salary</t>
  </si>
  <si>
    <t>Count of Company</t>
  </si>
  <si>
    <t>Sum of Experience</t>
  </si>
  <si>
    <t>Sum of Notice Period</t>
  </si>
  <si>
    <t>Sum of Current CTC</t>
  </si>
  <si>
    <t>Sum of Expected CTC</t>
  </si>
  <si>
    <t>Count of Role</t>
  </si>
  <si>
    <t>Count of Skills</t>
  </si>
  <si>
    <t>Sum of Interview Score</t>
  </si>
  <si>
    <t>Group1</t>
  </si>
  <si>
    <t>Sum of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</si>
</sst>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6" x14ac:knownFonts="1">
    <font>
      <sz val="11"/>
      <color theme="1"/>
      <name val="Calibri"/>
      <family val="2"/>
      <scheme val="minor"/>
    </font>
    <font>
      <sz val="11"/>
      <color rgb="FFFF0000"/>
      <name val="Calibri"/>
      <family val="2"/>
      <scheme val="minor"/>
    </font>
    <font>
      <sz val="11"/>
      <color rgb="FFFFFF00"/>
      <name val="Calibri"/>
      <family val="2"/>
      <scheme val="minor"/>
    </font>
    <font>
      <sz val="11"/>
      <color theme="5" tint="-0.249977111117893"/>
      <name val="Calibri"/>
      <family val="2"/>
      <scheme val="minor"/>
    </font>
    <font>
      <sz val="11"/>
      <color theme="9" tint="-0.249977111117893"/>
      <name val="Calibri"/>
      <family val="2"/>
      <scheme val="minor"/>
    </font>
    <font>
      <sz val="8"/>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vertical="top"/>
    </xf>
    <xf numFmtId="0" fontId="0" fillId="2" borderId="0" xfId="0" applyFill="1"/>
    <xf numFmtId="0" fontId="0" fillId="2" borderId="0" xfId="0" applyFill="1" applyAlignment="1">
      <alignment horizontal="left"/>
    </xf>
    <xf numFmtId="0" fontId="2" fillId="3" borderId="0" xfId="0" applyFont="1" applyFill="1"/>
    <xf numFmtId="0" fontId="2" fillId="3" borderId="0" xfId="0" applyFont="1" applyFill="1" applyAlignment="1">
      <alignment horizontal="left"/>
    </xf>
    <xf numFmtId="0" fontId="3" fillId="4" borderId="0" xfId="0" applyFont="1" applyFill="1"/>
    <xf numFmtId="0" fontId="3" fillId="4" borderId="0" xfId="0" applyFont="1" applyFill="1" applyAlignment="1">
      <alignment horizontal="left"/>
    </xf>
    <xf numFmtId="0" fontId="1" fillId="5" borderId="0" xfId="0" applyFont="1" applyFill="1"/>
    <xf numFmtId="0" fontId="1" fillId="5" borderId="0" xfId="0" applyFont="1" applyFill="1" applyAlignment="1">
      <alignment horizontal="left"/>
    </xf>
    <xf numFmtId="0" fontId="4" fillId="6" borderId="0" xfId="0" applyFont="1" applyFill="1"/>
    <xf numFmtId="0" fontId="4" fillId="6" borderId="0" xfId="0" applyFont="1" applyFill="1" applyAlignment="1">
      <alignment horizontal="left"/>
    </xf>
    <xf numFmtId="164" fontId="0" fillId="0" borderId="0" xfId="0" applyNumberFormat="1"/>
    <xf numFmtId="14" fontId="0" fillId="0" borderId="0" xfId="0" applyNumberFormat="1" applyAlignment="1">
      <alignment horizontal="left"/>
    </xf>
    <xf numFmtId="3" fontId="0" fillId="0" borderId="0" xfId="0" applyNumberFormat="1"/>
    <xf numFmtId="0" fontId="0" fillId="0" borderId="0" xfId="0" applyAlignment="1">
      <alignment horizontal="left" indent="1"/>
    </xf>
    <xf numFmtId="0" fontId="0" fillId="2" borderId="0" xfId="0" applyFill="1" applyAlignment="1">
      <alignment horizontal="left" indent="1"/>
    </xf>
    <xf numFmtId="0" fontId="1" fillId="5" borderId="0" xfId="0" applyFont="1" applyFill="1" applyAlignment="1">
      <alignment horizontal="left" indent="1"/>
    </xf>
  </cellXfs>
  <cellStyles count="1">
    <cellStyle name="Normal" xfId="0" builtinId="0"/>
  </cellStyles>
  <dxfs count="70">
    <dxf>
      <font>
        <color rgb="FF9C0006"/>
      </font>
      <fill>
        <patternFill>
          <bgColor rgb="FFFFC7CE"/>
        </patternFill>
      </fill>
    </dxf>
    <dxf>
      <numFmt numFmtId="3" formatCode="#,##0"/>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ont>
        <color rgb="FFFFFF00"/>
      </font>
    </dxf>
    <dxf>
      <font>
        <color rgb="FFFFFF00"/>
      </font>
    </dxf>
    <dxf>
      <font>
        <color rgb="FFFFFF00"/>
      </font>
    </dxf>
    <dxf>
      <font>
        <color rgb="FFFFFF00"/>
      </font>
    </dxf>
    <dxf>
      <font>
        <color rgb="FFFFFF00"/>
      </font>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ill>
        <patternFill patternType="solid">
          <bgColor theme="2"/>
        </patternFill>
      </fill>
    </dxf>
    <dxf>
      <font>
        <color theme="9" tint="-0.249977111117893"/>
      </font>
    </dxf>
    <dxf>
      <font>
        <color theme="9" tint="-0.249977111117893"/>
      </font>
    </dxf>
    <dxf>
      <font>
        <color theme="9" tint="-0.249977111117893"/>
      </font>
    </dxf>
    <dxf>
      <font>
        <color theme="9" tint="-0.249977111117893"/>
      </font>
    </dxf>
    <dxf>
      <font>
        <color theme="9" tint="-0.249977111117893"/>
      </font>
    </dxf>
    <dxf>
      <font>
        <color theme="9" tint="-0.249977111117893"/>
      </font>
    </dxf>
    <dxf>
      <numFmt numFmtId="3" formatCode="#,##0"/>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ont>
        <color theme="5" tint="-0.249977111117893"/>
      </font>
    </dxf>
    <dxf>
      <font>
        <color theme="5" tint="-0.249977111117893"/>
      </font>
    </dxf>
    <dxf>
      <font>
        <color theme="5" tint="-0.249977111117893"/>
      </font>
    </dxf>
    <dxf>
      <font>
        <color theme="5" tint="-0.249977111117893"/>
      </font>
    </dxf>
    <dxf>
      <font>
        <color theme="5" tint="-0.249977111117893"/>
      </font>
    </dxf>
    <dxf>
      <font>
        <color theme="5" tint="-0.249977111117893"/>
      </font>
    </dxf>
    <dxf>
      <numFmt numFmtId="164" formatCode="[$-14009]dd/mm/yyyy;@"/>
    </dxf>
  </dxfs>
  <tableStyles count="0" defaultTableStyle="TableStyleMedium9" defaultPivotStyle="PivotStyleLight16"/>
  <colors>
    <mruColors>
      <color rgb="FFA6A6A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8.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9.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0.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1.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Tables!PivotTable5</c:name>
    <c:fmtId val="1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839003743958957E-2"/>
          <c:y val="9.5111137738901202E-2"/>
          <c:w val="0.75003612365643646"/>
          <c:h val="0.46766007343564109"/>
        </c:manualLayout>
      </c:layout>
      <c:barChart>
        <c:barDir val="col"/>
        <c:grouping val="stacked"/>
        <c:varyColors val="0"/>
        <c:ser>
          <c:idx val="0"/>
          <c:order val="0"/>
          <c:tx>
            <c:strRef>
              <c:f>'Pivot Tables'!$N$22:$N$23</c:f>
              <c:strCache>
                <c:ptCount val="1"/>
                <c:pt idx="0">
                  <c:v>Applied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Tables'!$N$24:$N$44</c:f>
              <c:numCache>
                <c:formatCode>General</c:formatCode>
                <c:ptCount val="19"/>
                <c:pt idx="0">
                  <c:v>1</c:v>
                </c:pt>
                <c:pt idx="2">
                  <c:v>1</c:v>
                </c:pt>
                <c:pt idx="4">
                  <c:v>2</c:v>
                </c:pt>
                <c:pt idx="5">
                  <c:v>1</c:v>
                </c:pt>
                <c:pt idx="6">
                  <c:v>4</c:v>
                </c:pt>
                <c:pt idx="7">
                  <c:v>1</c:v>
                </c:pt>
                <c:pt idx="8">
                  <c:v>1</c:v>
                </c:pt>
                <c:pt idx="13">
                  <c:v>1</c:v>
                </c:pt>
                <c:pt idx="14">
                  <c:v>2</c:v>
                </c:pt>
                <c:pt idx="15">
                  <c:v>1</c:v>
                </c:pt>
                <c:pt idx="17">
                  <c:v>2</c:v>
                </c:pt>
                <c:pt idx="18">
                  <c:v>4</c:v>
                </c:pt>
              </c:numCache>
            </c:numRef>
          </c:val>
          <c:extLst>
            <c:ext xmlns:c16="http://schemas.microsoft.com/office/drawing/2014/chart" uri="{C3380CC4-5D6E-409C-BE32-E72D297353CC}">
              <c16:uniqueId val="{00000000-5A57-475B-8CA1-A17652561E30}"/>
            </c:ext>
          </c:extLst>
        </c:ser>
        <c:ser>
          <c:idx val="1"/>
          <c:order val="1"/>
          <c:tx>
            <c:strRef>
              <c:f>'Pivot Tables'!$O$22:$O$23</c:f>
              <c:strCache>
                <c:ptCount val="1"/>
                <c:pt idx="0">
                  <c:v>Interview</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Tables'!$O$24:$O$44</c:f>
              <c:numCache>
                <c:formatCode>General</c:formatCode>
                <c:ptCount val="19"/>
                <c:pt idx="0">
                  <c:v>1</c:v>
                </c:pt>
                <c:pt idx="2">
                  <c:v>4</c:v>
                </c:pt>
                <c:pt idx="3">
                  <c:v>1</c:v>
                </c:pt>
                <c:pt idx="4">
                  <c:v>2</c:v>
                </c:pt>
                <c:pt idx="5">
                  <c:v>1</c:v>
                </c:pt>
                <c:pt idx="6">
                  <c:v>2</c:v>
                </c:pt>
                <c:pt idx="7">
                  <c:v>1</c:v>
                </c:pt>
                <c:pt idx="8">
                  <c:v>1</c:v>
                </c:pt>
                <c:pt idx="9">
                  <c:v>2</c:v>
                </c:pt>
                <c:pt idx="10">
                  <c:v>1</c:v>
                </c:pt>
                <c:pt idx="11">
                  <c:v>2</c:v>
                </c:pt>
                <c:pt idx="12">
                  <c:v>3</c:v>
                </c:pt>
                <c:pt idx="13">
                  <c:v>3</c:v>
                </c:pt>
                <c:pt idx="15">
                  <c:v>1</c:v>
                </c:pt>
                <c:pt idx="17">
                  <c:v>1</c:v>
                </c:pt>
                <c:pt idx="18">
                  <c:v>2</c:v>
                </c:pt>
              </c:numCache>
            </c:numRef>
          </c:val>
          <c:extLst>
            <c:ext xmlns:c16="http://schemas.microsoft.com/office/drawing/2014/chart" uri="{C3380CC4-5D6E-409C-BE32-E72D297353CC}">
              <c16:uniqueId val="{00000001-6B66-4144-AE1F-151F3879CD44}"/>
            </c:ext>
          </c:extLst>
        </c:ser>
        <c:ser>
          <c:idx val="2"/>
          <c:order val="2"/>
          <c:tx>
            <c:strRef>
              <c:f>'Pivot Tables'!$P$22:$P$23</c:f>
              <c:strCache>
                <c:ptCount val="1"/>
                <c:pt idx="0">
                  <c:v>Offer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Tables'!$P$24:$P$44</c:f>
              <c:numCache>
                <c:formatCode>General</c:formatCode>
                <c:ptCount val="19"/>
                <c:pt idx="0">
                  <c:v>2</c:v>
                </c:pt>
                <c:pt idx="2">
                  <c:v>3</c:v>
                </c:pt>
                <c:pt idx="3">
                  <c:v>1</c:v>
                </c:pt>
                <c:pt idx="4">
                  <c:v>2</c:v>
                </c:pt>
                <c:pt idx="6">
                  <c:v>1</c:v>
                </c:pt>
                <c:pt idx="7">
                  <c:v>2</c:v>
                </c:pt>
                <c:pt idx="9">
                  <c:v>2</c:v>
                </c:pt>
                <c:pt idx="10">
                  <c:v>1</c:v>
                </c:pt>
                <c:pt idx="11">
                  <c:v>2</c:v>
                </c:pt>
                <c:pt idx="13">
                  <c:v>1</c:v>
                </c:pt>
                <c:pt idx="14">
                  <c:v>5</c:v>
                </c:pt>
                <c:pt idx="15">
                  <c:v>1</c:v>
                </c:pt>
                <c:pt idx="16">
                  <c:v>1</c:v>
                </c:pt>
                <c:pt idx="17">
                  <c:v>3</c:v>
                </c:pt>
                <c:pt idx="18">
                  <c:v>1</c:v>
                </c:pt>
              </c:numCache>
            </c:numRef>
          </c:val>
          <c:extLst>
            <c:ext xmlns:c16="http://schemas.microsoft.com/office/drawing/2014/chart" uri="{C3380CC4-5D6E-409C-BE32-E72D297353CC}">
              <c16:uniqueId val="{00000002-6B66-4144-AE1F-151F3879CD44}"/>
            </c:ext>
          </c:extLst>
        </c:ser>
        <c:ser>
          <c:idx val="3"/>
          <c:order val="3"/>
          <c:tx>
            <c:strRef>
              <c:f>'Pivot Tables'!$Q$22:$Q$23</c:f>
              <c:strCache>
                <c:ptCount val="1"/>
                <c:pt idx="0">
                  <c:v>Rejected</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Tables'!$Q$24:$Q$44</c:f>
              <c:numCache>
                <c:formatCode>General</c:formatCode>
                <c:ptCount val="19"/>
                <c:pt idx="0">
                  <c:v>1</c:v>
                </c:pt>
                <c:pt idx="1">
                  <c:v>2</c:v>
                </c:pt>
                <c:pt idx="2">
                  <c:v>2</c:v>
                </c:pt>
                <c:pt idx="4">
                  <c:v>2</c:v>
                </c:pt>
                <c:pt idx="5">
                  <c:v>1</c:v>
                </c:pt>
                <c:pt idx="6">
                  <c:v>1</c:v>
                </c:pt>
                <c:pt idx="7">
                  <c:v>3</c:v>
                </c:pt>
                <c:pt idx="8">
                  <c:v>1</c:v>
                </c:pt>
                <c:pt idx="10">
                  <c:v>1</c:v>
                </c:pt>
                <c:pt idx="11">
                  <c:v>1</c:v>
                </c:pt>
                <c:pt idx="12">
                  <c:v>2</c:v>
                </c:pt>
                <c:pt idx="14">
                  <c:v>1</c:v>
                </c:pt>
                <c:pt idx="15">
                  <c:v>1</c:v>
                </c:pt>
                <c:pt idx="16">
                  <c:v>2</c:v>
                </c:pt>
                <c:pt idx="18">
                  <c:v>2</c:v>
                </c:pt>
              </c:numCache>
            </c:numRef>
          </c:val>
          <c:extLst>
            <c:ext xmlns:c16="http://schemas.microsoft.com/office/drawing/2014/chart" uri="{C3380CC4-5D6E-409C-BE32-E72D297353CC}">
              <c16:uniqueId val="{00000003-6B66-4144-AE1F-151F3879CD44}"/>
            </c:ext>
          </c:extLst>
        </c:ser>
        <c:dLbls>
          <c:showLegendKey val="0"/>
          <c:showVal val="0"/>
          <c:showCatName val="0"/>
          <c:showSerName val="0"/>
          <c:showPercent val="0"/>
          <c:showBubbleSize val="0"/>
        </c:dLbls>
        <c:gapWidth val="150"/>
        <c:overlap val="100"/>
        <c:axId val="1101877807"/>
        <c:axId val="1101883087"/>
      </c:barChart>
      <c:catAx>
        <c:axId val="110187780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1883087"/>
        <c:crosses val="autoZero"/>
        <c:auto val="1"/>
        <c:lblAlgn val="ctr"/>
        <c:lblOffset val="100"/>
        <c:noMultiLvlLbl val="0"/>
      </c:catAx>
      <c:valAx>
        <c:axId val="110188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Tables!PivotTable7</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solidFill>
                  <a:schemeClr val="bg1"/>
                </a:solidFill>
              </a:rPr>
              <a:t>Total Experience by Company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Tables'!$B$54</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multiLvlStrRef>
              <c:f>'Pivot Tables'!$A$55:$A$75</c:f>
              <c:multiLvlStrCache>
                <c:ptCount val="19"/>
                <c:lvl>
                  <c:pt idx="0">
                    <c:v>HCL</c:v>
                  </c:pt>
                  <c:pt idx="1">
                    <c:v>Zomato</c:v>
                  </c:pt>
                  <c:pt idx="2">
                    <c:v>Capgemini</c:v>
                  </c:pt>
                  <c:pt idx="3">
                    <c:v>TCS</c:v>
                  </c:pt>
                  <c:pt idx="4">
                    <c:v>Google</c:v>
                  </c:pt>
                  <c:pt idx="5">
                    <c:v>Deloitte</c:v>
                  </c:pt>
                  <c:pt idx="6">
                    <c:v>Zoho</c:v>
                  </c:pt>
                  <c:pt idx="7">
                    <c:v>Tech Mahindra</c:v>
                  </c:pt>
                  <c:pt idx="8">
                    <c:v>Paytm</c:v>
                  </c:pt>
                  <c:pt idx="9">
                    <c:v>Swiggy</c:v>
                  </c:pt>
                  <c:pt idx="10">
                    <c:v>Oracle</c:v>
                  </c:pt>
                  <c:pt idx="11">
                    <c:v>Infosys</c:v>
                  </c:pt>
                  <c:pt idx="12">
                    <c:v>Microsoft</c:v>
                  </c:pt>
                  <c:pt idx="13">
                    <c:v>Wipro</c:v>
                  </c:pt>
                  <c:pt idx="14">
                    <c:v>Cognizant</c:v>
                  </c:pt>
                  <c:pt idx="15">
                    <c:v>IBM</c:v>
                  </c:pt>
                  <c:pt idx="16">
                    <c:v>Accenture</c:v>
                  </c:pt>
                  <c:pt idx="17">
                    <c:v>Flipkart</c:v>
                  </c:pt>
                  <c:pt idx="18">
                    <c:v>Amazon</c:v>
                  </c:pt>
                </c:lvl>
                <c:lvl>
                  <c:pt idx="0">
                    <c:v>Group1</c:v>
                  </c:pt>
                </c:lvl>
              </c:multiLvlStrCache>
            </c:multiLvlStrRef>
          </c:cat>
          <c:val>
            <c:numRef>
              <c:f>'Pivot Tables'!$B$55:$B$75</c:f>
              <c:numCache>
                <c:formatCode>General</c:formatCode>
                <c:ptCount val="19"/>
                <c:pt idx="0">
                  <c:v>37</c:v>
                </c:pt>
                <c:pt idx="1">
                  <c:v>36</c:v>
                </c:pt>
                <c:pt idx="2">
                  <c:v>34</c:v>
                </c:pt>
                <c:pt idx="3">
                  <c:v>28</c:v>
                </c:pt>
                <c:pt idx="4">
                  <c:v>27</c:v>
                </c:pt>
                <c:pt idx="5">
                  <c:v>24</c:v>
                </c:pt>
                <c:pt idx="6">
                  <c:v>21</c:v>
                </c:pt>
                <c:pt idx="7">
                  <c:v>19</c:v>
                </c:pt>
                <c:pt idx="8">
                  <c:v>19</c:v>
                </c:pt>
                <c:pt idx="9">
                  <c:v>17</c:v>
                </c:pt>
                <c:pt idx="10">
                  <c:v>15</c:v>
                </c:pt>
                <c:pt idx="11">
                  <c:v>15</c:v>
                </c:pt>
                <c:pt idx="12">
                  <c:v>13</c:v>
                </c:pt>
                <c:pt idx="13">
                  <c:v>12</c:v>
                </c:pt>
                <c:pt idx="14">
                  <c:v>11</c:v>
                </c:pt>
                <c:pt idx="15">
                  <c:v>10</c:v>
                </c:pt>
                <c:pt idx="16">
                  <c:v>9</c:v>
                </c:pt>
                <c:pt idx="17">
                  <c:v>6</c:v>
                </c:pt>
                <c:pt idx="18">
                  <c:v>3</c:v>
                </c:pt>
              </c:numCache>
            </c:numRef>
          </c:val>
          <c:extLst>
            <c:ext xmlns:c16="http://schemas.microsoft.com/office/drawing/2014/chart" uri="{C3380CC4-5D6E-409C-BE32-E72D297353CC}">
              <c16:uniqueId val="{00000000-0B00-483A-9147-D5F1CAEB5B58}"/>
            </c:ext>
          </c:extLst>
        </c:ser>
        <c:dLbls>
          <c:showLegendKey val="0"/>
          <c:showVal val="0"/>
          <c:showCatName val="0"/>
          <c:showSerName val="0"/>
          <c:showPercent val="0"/>
          <c:showBubbleSize val="0"/>
        </c:dLbls>
        <c:gapWidth val="315"/>
        <c:axId val="1422685295"/>
        <c:axId val="1422671375"/>
      </c:barChart>
      <c:catAx>
        <c:axId val="1422685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2671375"/>
        <c:crosses val="autoZero"/>
        <c:auto val="1"/>
        <c:lblAlgn val="ctr"/>
        <c:lblOffset val="100"/>
        <c:noMultiLvlLbl val="0"/>
      </c:catAx>
      <c:valAx>
        <c:axId val="14226713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226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Tables!PivotTable2</c:name>
    <c:fmtId val="5"/>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solidFill>
                  <a:srgbClr val="00B050"/>
                </a:solidFill>
              </a:rPr>
              <a:t>Offer Acceptance by Source</a:t>
            </a:r>
            <a:endParaRPr lang="en-US">
              <a:solidFill>
                <a:srgbClr val="00B050"/>
              </a:solidFill>
            </a:endParaRP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
        <c:idx val="3"/>
        <c:dLbl>
          <c:idx val="0"/>
          <c:delete val="1"/>
          <c:extLst>
            <c:ext xmlns:c15="http://schemas.microsoft.com/office/drawing/2012/chart" uri="{CE6537A1-D6FC-4f65-9D91-7224C49458BB}"/>
          </c:extLst>
        </c:dLbl>
      </c:pivotFmt>
      <c:pivotFmt>
        <c:idx val="4"/>
        <c:dLbl>
          <c:idx val="0"/>
          <c:delete val="1"/>
          <c:extLst>
            <c:ext xmlns:c15="http://schemas.microsoft.com/office/drawing/2012/chart" uri="{CE6537A1-D6FC-4f65-9D91-7224C49458BB}"/>
          </c:extLst>
        </c:dLbl>
      </c:pivotFmt>
      <c:pivotFmt>
        <c:idx val="5"/>
        <c:dLbl>
          <c:idx val="0"/>
          <c:delete val="1"/>
          <c:extLst>
            <c:ext xmlns:c15="http://schemas.microsoft.com/office/drawing/2012/chart" uri="{CE6537A1-D6FC-4f65-9D91-7224C49458BB}"/>
          </c:extLst>
        </c:dLbl>
      </c:pivotFmt>
      <c:pivotFmt>
        <c:idx val="6"/>
        <c:dLbl>
          <c:idx val="0"/>
          <c:delete val="1"/>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delete val="1"/>
          <c:extLst>
            <c:ext xmlns:c15="http://schemas.microsoft.com/office/drawing/2012/chart" uri="{CE6537A1-D6FC-4f65-9D91-7224C49458BB}"/>
          </c:extLst>
        </c:dLbl>
      </c:pivotFmt>
      <c:pivotFmt>
        <c:idx val="9"/>
        <c:dLbl>
          <c:idx val="0"/>
          <c:delete val="1"/>
          <c:extLst>
            <c:ext xmlns:c15="http://schemas.microsoft.com/office/drawing/2012/chart" uri="{CE6537A1-D6FC-4f65-9D91-7224C49458BB}"/>
          </c:extLst>
        </c:dLbl>
      </c:pivotFmt>
      <c:pivotFmt>
        <c:idx val="10"/>
        <c:dLbl>
          <c:idx val="0"/>
          <c:delete val="1"/>
          <c:extLst>
            <c:ext xmlns:c15="http://schemas.microsoft.com/office/drawing/2012/chart" uri="{CE6537A1-D6FC-4f65-9D91-7224C49458BB}"/>
          </c:extLst>
        </c:dLbl>
      </c:pivotFmt>
      <c:pivotFmt>
        <c:idx val="11"/>
        <c:dLbl>
          <c:idx val="0"/>
          <c:delete val="1"/>
          <c:extLst>
            <c:ext xmlns:c15="http://schemas.microsoft.com/office/drawing/2012/chart" uri="{CE6537A1-D6FC-4f65-9D91-7224C49458BB}"/>
          </c:extLst>
        </c:dLbl>
      </c:pivotFmt>
      <c:pivotFmt>
        <c:idx val="12"/>
        <c:dLbl>
          <c:idx val="0"/>
          <c:delete val="1"/>
          <c:extLst>
            <c:ext xmlns:c15="http://schemas.microsoft.com/office/drawing/2012/chart" uri="{CE6537A1-D6FC-4f65-9D91-7224C49458BB}"/>
          </c:extLst>
        </c:dLbl>
      </c:pivotFmt>
      <c:pivotFmt>
        <c:idx val="13"/>
        <c:dLbl>
          <c:idx val="0"/>
          <c:delete val="1"/>
          <c:extLst>
            <c:ext xmlns:c15="http://schemas.microsoft.com/office/drawing/2012/chart" uri="{CE6537A1-D6FC-4f65-9D91-7224C49458BB}"/>
          </c:extLst>
        </c:dLbl>
      </c:pivotFmt>
      <c:pivotFmt>
        <c:idx val="14"/>
        <c:dLbl>
          <c:idx val="0"/>
          <c:delete val="1"/>
          <c:extLst>
            <c:ext xmlns:c15="http://schemas.microsoft.com/office/drawing/2012/chart" uri="{CE6537A1-D6FC-4f65-9D91-7224C49458BB}"/>
          </c:extLst>
        </c:dLbl>
      </c:pivotFmt>
      <c:pivotFmt>
        <c:idx val="15"/>
        <c:dLbl>
          <c:idx val="0"/>
          <c:delete val="1"/>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delete val="1"/>
          <c:extLst>
            <c:ext xmlns:c15="http://schemas.microsoft.com/office/drawing/2012/chart" uri="{CE6537A1-D6FC-4f65-9D91-7224C49458BB}"/>
          </c:extLst>
        </c:dLbl>
      </c:pivotFmt>
      <c:pivotFmt>
        <c:idx val="18"/>
        <c:dLbl>
          <c:idx val="0"/>
          <c:delete val="1"/>
          <c:extLst>
            <c:ext xmlns:c15="http://schemas.microsoft.com/office/drawing/2012/chart" uri="{CE6537A1-D6FC-4f65-9D91-7224C49458BB}"/>
          </c:extLst>
        </c:dLbl>
      </c:pivotFmt>
      <c:pivotFmt>
        <c:idx val="19"/>
        <c:dLbl>
          <c:idx val="0"/>
          <c:delete val="1"/>
          <c:extLst>
            <c:ext xmlns:c15="http://schemas.microsoft.com/office/drawing/2012/chart" uri="{CE6537A1-D6FC-4f65-9D91-7224C49458BB}"/>
          </c:extLst>
        </c:dLbl>
      </c:pivotFmt>
      <c:pivotFmt>
        <c:idx val="20"/>
        <c:dLbl>
          <c:idx val="0"/>
          <c:delete val="1"/>
          <c:extLst>
            <c:ext xmlns:c15="http://schemas.microsoft.com/office/drawing/2012/chart" uri="{CE6537A1-D6FC-4f65-9D91-7224C49458BB}"/>
          </c:extLst>
        </c:dLbl>
      </c:pivotFmt>
      <c:pivotFmt>
        <c:idx val="21"/>
        <c:dLbl>
          <c:idx val="0"/>
          <c:delete val="1"/>
          <c:extLst>
            <c:ext xmlns:c15="http://schemas.microsoft.com/office/drawing/2012/chart" uri="{CE6537A1-D6FC-4f65-9D91-7224C49458BB}"/>
          </c:extLst>
        </c:dLbl>
      </c:pivotFmt>
      <c:pivotFmt>
        <c:idx val="22"/>
        <c:dLbl>
          <c:idx val="0"/>
          <c:delete val="1"/>
          <c:extLst>
            <c:ext xmlns:c15="http://schemas.microsoft.com/office/drawing/2012/chart" uri="{CE6537A1-D6FC-4f65-9D91-7224C49458BB}"/>
          </c:extLst>
        </c:dLbl>
      </c:pivotFmt>
      <c:pivotFmt>
        <c:idx val="23"/>
        <c:dLbl>
          <c:idx val="0"/>
          <c:delete val="1"/>
          <c:extLst>
            <c:ext xmlns:c15="http://schemas.microsoft.com/office/drawing/2012/chart" uri="{CE6537A1-D6FC-4f65-9D91-7224C49458BB}"/>
          </c:extLst>
        </c:dLbl>
      </c:pivotFmt>
      <c:pivotFmt>
        <c:idx val="24"/>
        <c:dLbl>
          <c:idx val="0"/>
          <c:delete val="1"/>
          <c:extLst>
            <c:ext xmlns:c15="http://schemas.microsoft.com/office/drawing/2012/chart" uri="{CE6537A1-D6FC-4f65-9D91-7224C49458BB}"/>
          </c:extLst>
        </c:dLbl>
      </c:pivotFmt>
      <c:pivotFmt>
        <c:idx val="25"/>
        <c:dLbl>
          <c:idx val="0"/>
          <c:delete val="1"/>
          <c:extLst>
            <c:ext xmlns:c15="http://schemas.microsoft.com/office/drawing/2012/chart" uri="{CE6537A1-D6FC-4f65-9D91-7224C49458BB}"/>
          </c:extLst>
        </c:dLbl>
      </c:pivotFmt>
      <c:pivotFmt>
        <c:idx val="26"/>
        <c:dLbl>
          <c:idx val="0"/>
          <c:delete val="1"/>
          <c:extLst>
            <c:ext xmlns:c15="http://schemas.microsoft.com/office/drawing/2012/chart" uri="{CE6537A1-D6FC-4f65-9D91-7224C49458BB}"/>
          </c:extLst>
        </c:dLbl>
      </c:pivotFmt>
      <c:pivotFmt>
        <c:idx val="27"/>
        <c:dLbl>
          <c:idx val="0"/>
          <c:delete val="1"/>
          <c:extLst>
            <c:ext xmlns:c15="http://schemas.microsoft.com/office/drawing/2012/chart" uri="{CE6537A1-D6FC-4f65-9D91-7224C49458BB}"/>
          </c:extLst>
        </c:dLbl>
      </c:pivotFmt>
      <c:pivotFmt>
        <c:idx val="28"/>
        <c:dLbl>
          <c:idx val="0"/>
          <c:delete val="1"/>
          <c:extLst>
            <c:ext xmlns:c15="http://schemas.microsoft.com/office/drawing/2012/chart" uri="{CE6537A1-D6FC-4f65-9D91-7224C49458BB}"/>
          </c:extLst>
        </c:dLbl>
      </c:pivotFmt>
      <c:pivotFmt>
        <c:idx val="29"/>
        <c:dLbl>
          <c:idx val="0"/>
          <c:delete val="1"/>
          <c:extLst>
            <c:ext xmlns:c15="http://schemas.microsoft.com/office/drawing/2012/chart" uri="{CE6537A1-D6FC-4f65-9D91-7224C49458BB}"/>
          </c:extLst>
        </c:dLbl>
      </c:pivotFmt>
      <c:pivotFmt>
        <c:idx val="30"/>
        <c:dLbl>
          <c:idx val="0"/>
          <c:delete val="1"/>
          <c:extLst>
            <c:ext xmlns:c15="http://schemas.microsoft.com/office/drawing/2012/chart" uri="{CE6537A1-D6FC-4f65-9D91-7224C49458BB}"/>
          </c:extLst>
        </c:dLbl>
      </c:pivotFmt>
      <c:pivotFmt>
        <c:idx val="31"/>
        <c:dLbl>
          <c:idx val="0"/>
          <c:delete val="1"/>
          <c:extLst>
            <c:ext xmlns:c15="http://schemas.microsoft.com/office/drawing/2012/chart" uri="{CE6537A1-D6FC-4f65-9D91-7224C49458BB}"/>
          </c:extLst>
        </c:dLbl>
      </c:pivotFmt>
      <c:pivotFmt>
        <c:idx val="32"/>
        <c:dLbl>
          <c:idx val="0"/>
          <c:delete val="1"/>
          <c:extLst>
            <c:ext xmlns:c15="http://schemas.microsoft.com/office/drawing/2012/chart" uri="{CE6537A1-D6FC-4f65-9D91-7224C49458BB}"/>
          </c:extLst>
        </c:dLbl>
      </c:pivotFmt>
      <c:pivotFmt>
        <c:idx val="33"/>
        <c:dLbl>
          <c:idx val="0"/>
          <c:delete val="1"/>
          <c:extLst>
            <c:ext xmlns:c15="http://schemas.microsoft.com/office/drawing/2012/chart" uri="{CE6537A1-D6FC-4f65-9D91-7224C49458BB}"/>
          </c:extLst>
        </c:dLbl>
      </c:pivotFmt>
      <c:pivotFmt>
        <c:idx val="34"/>
        <c:dLbl>
          <c:idx val="0"/>
          <c:delete val="1"/>
          <c:extLst>
            <c:ext xmlns:c15="http://schemas.microsoft.com/office/drawing/2012/chart" uri="{CE6537A1-D6FC-4f65-9D91-7224C49458BB}"/>
          </c:extLst>
        </c:dLbl>
      </c:pivotFmt>
      <c:pivotFmt>
        <c:idx val="35"/>
        <c:dLbl>
          <c:idx val="0"/>
          <c:delete val="1"/>
          <c:extLst>
            <c:ext xmlns:c15="http://schemas.microsoft.com/office/drawing/2012/chart" uri="{CE6537A1-D6FC-4f65-9D91-7224C49458BB}"/>
          </c:extLst>
        </c:dLbl>
      </c:pivotFmt>
      <c:pivotFmt>
        <c:idx val="36"/>
        <c:dLbl>
          <c:idx val="0"/>
          <c:delete val="1"/>
          <c:extLst>
            <c:ext xmlns:c15="http://schemas.microsoft.com/office/drawing/2012/chart" uri="{CE6537A1-D6FC-4f65-9D91-7224C49458BB}"/>
          </c:extLst>
        </c:dLbl>
      </c:pivotFmt>
      <c:pivotFmt>
        <c:idx val="37"/>
        <c:dLbl>
          <c:idx val="0"/>
          <c:delete val="1"/>
          <c:extLst>
            <c:ext xmlns:c15="http://schemas.microsoft.com/office/drawing/2012/chart" uri="{CE6537A1-D6FC-4f65-9D91-7224C49458BB}"/>
          </c:extLst>
        </c:dLbl>
      </c:pivotFmt>
      <c:pivotFmt>
        <c:idx val="38"/>
        <c:dLbl>
          <c:idx val="0"/>
          <c:delete val="1"/>
          <c:extLst>
            <c:ext xmlns:c15="http://schemas.microsoft.com/office/drawing/2012/chart" uri="{CE6537A1-D6FC-4f65-9D91-7224C49458BB}"/>
          </c:extLst>
        </c:dLbl>
      </c:pivotFmt>
      <c:pivotFmt>
        <c:idx val="39"/>
        <c:dLbl>
          <c:idx val="0"/>
          <c:delete val="1"/>
          <c:extLst>
            <c:ext xmlns:c15="http://schemas.microsoft.com/office/drawing/2012/chart" uri="{CE6537A1-D6FC-4f65-9D91-7224C49458BB}"/>
          </c:extLst>
        </c:dLbl>
      </c:pivotFmt>
      <c:pivotFmt>
        <c:idx val="40"/>
        <c:dLbl>
          <c:idx val="0"/>
          <c:delete val="1"/>
          <c:extLst>
            <c:ext xmlns:c15="http://schemas.microsoft.com/office/drawing/2012/chart" uri="{CE6537A1-D6FC-4f65-9D91-7224C49458BB}"/>
          </c:extLst>
        </c:dLbl>
      </c:pivotFmt>
      <c:pivotFmt>
        <c:idx val="41"/>
        <c:dLbl>
          <c:idx val="0"/>
          <c:delete val="1"/>
          <c:extLst>
            <c:ext xmlns:c15="http://schemas.microsoft.com/office/drawing/2012/chart" uri="{CE6537A1-D6FC-4f65-9D91-7224C49458BB}"/>
          </c:extLst>
        </c:dLbl>
      </c:pivotFmt>
      <c:pivotFmt>
        <c:idx val="42"/>
        <c:dLbl>
          <c:idx val="0"/>
          <c:delete val="1"/>
          <c:extLst>
            <c:ext xmlns:c15="http://schemas.microsoft.com/office/drawing/2012/chart" uri="{CE6537A1-D6FC-4f65-9D91-7224C49458BB}"/>
          </c:extLst>
        </c:dLbl>
      </c:pivotFmt>
      <c:pivotFmt>
        <c:idx val="43"/>
        <c:dLbl>
          <c:idx val="0"/>
          <c:delete val="1"/>
          <c:extLst>
            <c:ext xmlns:c15="http://schemas.microsoft.com/office/drawing/2012/chart" uri="{CE6537A1-D6FC-4f65-9D91-7224C49458BB}"/>
          </c:extLst>
        </c:dLbl>
      </c:pivotFmt>
      <c:pivotFmt>
        <c:idx val="44"/>
        <c:dLbl>
          <c:idx val="0"/>
          <c:delete val="1"/>
          <c:extLst>
            <c:ext xmlns:c15="http://schemas.microsoft.com/office/drawing/2012/chart" uri="{CE6537A1-D6FC-4f65-9D91-7224C49458BB}"/>
          </c:extLst>
        </c:dLbl>
      </c:pivotFmt>
      <c:pivotFmt>
        <c:idx val="45"/>
        <c:dLbl>
          <c:idx val="0"/>
          <c:delete val="1"/>
          <c:extLst>
            <c:ext xmlns:c15="http://schemas.microsoft.com/office/drawing/2012/chart" uri="{CE6537A1-D6FC-4f65-9D91-7224C49458BB}"/>
          </c:extLst>
        </c:dLbl>
      </c:pivotFmt>
      <c:pivotFmt>
        <c:idx val="46"/>
        <c:dLbl>
          <c:idx val="0"/>
          <c:delete val="1"/>
          <c:extLst>
            <c:ext xmlns:c15="http://schemas.microsoft.com/office/drawing/2012/chart" uri="{CE6537A1-D6FC-4f65-9D91-7224C49458BB}"/>
          </c:extLst>
        </c:dLbl>
      </c:pivotFmt>
      <c:pivotFmt>
        <c:idx val="47"/>
        <c:dLbl>
          <c:idx val="0"/>
          <c:delete val="1"/>
          <c:extLst>
            <c:ext xmlns:c15="http://schemas.microsoft.com/office/drawing/2012/chart" uri="{CE6537A1-D6FC-4f65-9D91-7224C49458BB}"/>
          </c:extLst>
        </c:dLbl>
      </c:pivotFmt>
      <c:pivotFmt>
        <c:idx val="48"/>
        <c:dLbl>
          <c:idx val="0"/>
          <c:delete val="1"/>
          <c:extLst>
            <c:ext xmlns:c15="http://schemas.microsoft.com/office/drawing/2012/chart" uri="{CE6537A1-D6FC-4f65-9D91-7224C49458BB}"/>
          </c:extLst>
        </c:dLbl>
      </c:pivotFmt>
      <c:pivotFmt>
        <c:idx val="49"/>
        <c:dLbl>
          <c:idx val="0"/>
          <c:delete val="1"/>
          <c:extLst>
            <c:ext xmlns:c15="http://schemas.microsoft.com/office/drawing/2012/chart" uri="{CE6537A1-D6FC-4f65-9D91-7224C49458BB}"/>
          </c:extLst>
        </c:dLbl>
      </c:pivotFmt>
      <c:pivotFmt>
        <c:idx val="50"/>
        <c:dLbl>
          <c:idx val="0"/>
          <c:delete val="1"/>
          <c:extLst>
            <c:ext xmlns:c15="http://schemas.microsoft.com/office/drawing/2012/chart" uri="{CE6537A1-D6FC-4f65-9D91-7224C49458BB}"/>
          </c:extLst>
        </c:dLbl>
      </c:pivotFmt>
      <c:pivotFmt>
        <c:idx val="5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2"/>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
        <c:idx val="5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Tables'!$M$7</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71B5-4309-9AAA-37273EBE3184}"/>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71B5-4309-9AAA-37273EBE3184}"/>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71B5-4309-9AAA-37273EBE318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showLeaderLines val="1"/>
            <c:extLst>
              <c:ext xmlns:c15="http://schemas.microsoft.com/office/drawing/2012/chart" uri="{CE6537A1-D6FC-4f65-9D91-7224C49458BB}"/>
            </c:extLst>
          </c:dLbls>
          <c:cat>
            <c:strRef>
              <c:f>'Pivot Tables'!$L$8:$L$11</c:f>
              <c:strCache>
                <c:ptCount val="3"/>
                <c:pt idx="0">
                  <c:v>LinkedIn</c:v>
                </c:pt>
                <c:pt idx="1">
                  <c:v>Naukri</c:v>
                </c:pt>
                <c:pt idx="2">
                  <c:v>Referral</c:v>
                </c:pt>
              </c:strCache>
            </c:strRef>
          </c:cat>
          <c:val>
            <c:numRef>
              <c:f>'Pivot Tables'!$M$8:$M$11</c:f>
              <c:numCache>
                <c:formatCode>General</c:formatCode>
                <c:ptCount val="3"/>
                <c:pt idx="0">
                  <c:v>12</c:v>
                </c:pt>
                <c:pt idx="1">
                  <c:v>6</c:v>
                </c:pt>
                <c:pt idx="2">
                  <c:v>10</c:v>
                </c:pt>
              </c:numCache>
            </c:numRef>
          </c:val>
          <c:extLst>
            <c:ext xmlns:c16="http://schemas.microsoft.com/office/drawing/2014/chart" uri="{C3380CC4-5D6E-409C-BE32-E72D297353CC}">
              <c16:uniqueId val="{00000009-06FC-4037-9F7F-28240EE20404}"/>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Tables!PivotTable4</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0485515570994"/>
          <c:y val="6.5685181785033603E-2"/>
          <c:w val="0.83336581217779515"/>
          <c:h val="0.67290632793111504"/>
        </c:manualLayout>
      </c:layout>
      <c:lineChart>
        <c:grouping val="standard"/>
        <c:varyColors val="0"/>
        <c:ser>
          <c:idx val="2"/>
          <c:order val="0"/>
          <c:tx>
            <c:strRef>
              <c:f>'Pivot Tables'!$B$23</c:f>
              <c:strCache>
                <c:ptCount val="1"/>
                <c:pt idx="0">
                  <c:v>Average of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Tables'!$B$24:$B$32</c:f>
              <c:numCache>
                <c:formatCode>General</c:formatCode>
                <c:ptCount val="8"/>
                <c:pt idx="0">
                  <c:v>1861526.0833333333</c:v>
                </c:pt>
                <c:pt idx="1">
                  <c:v>1536117.8181818181</c:v>
                </c:pt>
                <c:pt idx="2">
                  <c:v>1980841</c:v>
                </c:pt>
                <c:pt idx="3">
                  <c:v>1306650.857142857</c:v>
                </c:pt>
                <c:pt idx="4">
                  <c:v>1782723.7692307692</c:v>
                </c:pt>
                <c:pt idx="5">
                  <c:v>2032734.4545454546</c:v>
                </c:pt>
                <c:pt idx="6">
                  <c:v>1603158.5333333334</c:v>
                </c:pt>
                <c:pt idx="7">
                  <c:v>1658084.4</c:v>
                </c:pt>
              </c:numCache>
            </c:numRef>
          </c:val>
          <c:smooth val="0"/>
          <c:extLst>
            <c:ext xmlns:c16="http://schemas.microsoft.com/office/drawing/2014/chart" uri="{C3380CC4-5D6E-409C-BE32-E72D297353CC}">
              <c16:uniqueId val="{00000001-0F2A-436B-8035-BB38AE11A82E}"/>
            </c:ext>
          </c:extLst>
        </c:ser>
        <c:ser>
          <c:idx val="0"/>
          <c:order val="1"/>
          <c:tx>
            <c:strRef>
              <c:f>'Pivot Tables'!$C$23</c:f>
              <c:strCache>
                <c:ptCount val="1"/>
                <c:pt idx="0">
                  <c:v>Max of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Tables'!$C$24:$C$32</c:f>
              <c:numCache>
                <c:formatCode>General</c:formatCode>
                <c:ptCount val="8"/>
                <c:pt idx="0">
                  <c:v>2702187</c:v>
                </c:pt>
                <c:pt idx="1">
                  <c:v>2647006</c:v>
                </c:pt>
                <c:pt idx="2">
                  <c:v>2655788</c:v>
                </c:pt>
                <c:pt idx="3">
                  <c:v>2477087</c:v>
                </c:pt>
                <c:pt idx="4">
                  <c:v>2536732</c:v>
                </c:pt>
                <c:pt idx="5">
                  <c:v>2746588</c:v>
                </c:pt>
                <c:pt idx="6">
                  <c:v>2609904</c:v>
                </c:pt>
                <c:pt idx="7">
                  <c:v>2740169</c:v>
                </c:pt>
              </c:numCache>
            </c:numRef>
          </c:val>
          <c:smooth val="0"/>
          <c:extLst>
            <c:ext xmlns:c16="http://schemas.microsoft.com/office/drawing/2014/chart" uri="{C3380CC4-5D6E-409C-BE32-E72D297353CC}">
              <c16:uniqueId val="{00000002-0F2A-436B-8035-BB38AE11A82E}"/>
            </c:ext>
          </c:extLst>
        </c:ser>
        <c:ser>
          <c:idx val="1"/>
          <c:order val="2"/>
          <c:tx>
            <c:strRef>
              <c:f>'Pivot Tables'!$D$23</c:f>
              <c:strCache>
                <c:ptCount val="1"/>
                <c:pt idx="0">
                  <c:v>Min of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Tables'!$D$24:$D$32</c:f>
              <c:numCache>
                <c:formatCode>General</c:formatCode>
                <c:ptCount val="8"/>
                <c:pt idx="0">
                  <c:v>448465</c:v>
                </c:pt>
                <c:pt idx="1">
                  <c:v>525129</c:v>
                </c:pt>
                <c:pt idx="2">
                  <c:v>895179</c:v>
                </c:pt>
                <c:pt idx="3">
                  <c:v>398941</c:v>
                </c:pt>
                <c:pt idx="4">
                  <c:v>791995</c:v>
                </c:pt>
                <c:pt idx="5">
                  <c:v>526572</c:v>
                </c:pt>
                <c:pt idx="6">
                  <c:v>803351</c:v>
                </c:pt>
                <c:pt idx="7">
                  <c:v>358017</c:v>
                </c:pt>
              </c:numCache>
            </c:numRef>
          </c:val>
          <c:smooth val="0"/>
          <c:extLst>
            <c:ext xmlns:c16="http://schemas.microsoft.com/office/drawing/2014/chart" uri="{C3380CC4-5D6E-409C-BE32-E72D297353CC}">
              <c16:uniqueId val="{00000000-5EAF-485E-B044-4634EEC446F6}"/>
            </c:ext>
          </c:extLst>
        </c:ser>
        <c:dLbls>
          <c:dLblPos val="ctr"/>
          <c:showLegendKey val="0"/>
          <c:showVal val="1"/>
          <c:showCatName val="0"/>
          <c:showSerName val="0"/>
          <c:showPercent val="0"/>
          <c:showBubbleSize val="0"/>
        </c:dLbls>
        <c:marker val="1"/>
        <c:smooth val="0"/>
        <c:axId val="471677167"/>
        <c:axId val="471670927"/>
      </c:lineChart>
      <c:catAx>
        <c:axId val="471677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1670927"/>
        <c:crosses val="autoZero"/>
        <c:auto val="1"/>
        <c:lblAlgn val="ctr"/>
        <c:lblOffset val="100"/>
        <c:noMultiLvlLbl val="0"/>
      </c:catAx>
      <c:valAx>
        <c:axId val="471670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167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75000"/>
      </a:schemeClr>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Tables!PivotTable5</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manualLayout>
          <c:layoutTarget val="inner"/>
          <c:xMode val="edge"/>
          <c:yMode val="edge"/>
          <c:x val="8.1839003743958957E-2"/>
          <c:y val="9.5111137738901202E-2"/>
          <c:w val="0.75003612365643646"/>
          <c:h val="0.46766007343564109"/>
        </c:manualLayout>
      </c:layout>
      <c:barChart>
        <c:barDir val="col"/>
        <c:grouping val="stacked"/>
        <c:varyColors val="0"/>
        <c:ser>
          <c:idx val="0"/>
          <c:order val="0"/>
          <c:tx>
            <c:strRef>
              <c:f>'Pivot Tables'!$N$22:$N$23</c:f>
              <c:strCache>
                <c:ptCount val="1"/>
                <c:pt idx="0">
                  <c:v>Applied</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Tables'!$N$24:$N$44</c:f>
              <c:numCache>
                <c:formatCode>General</c:formatCode>
                <c:ptCount val="19"/>
                <c:pt idx="0">
                  <c:v>1</c:v>
                </c:pt>
                <c:pt idx="2">
                  <c:v>1</c:v>
                </c:pt>
                <c:pt idx="4">
                  <c:v>2</c:v>
                </c:pt>
                <c:pt idx="5">
                  <c:v>1</c:v>
                </c:pt>
                <c:pt idx="6">
                  <c:v>4</c:v>
                </c:pt>
                <c:pt idx="7">
                  <c:v>1</c:v>
                </c:pt>
                <c:pt idx="8">
                  <c:v>1</c:v>
                </c:pt>
                <c:pt idx="13">
                  <c:v>1</c:v>
                </c:pt>
                <c:pt idx="14">
                  <c:v>2</c:v>
                </c:pt>
                <c:pt idx="15">
                  <c:v>1</c:v>
                </c:pt>
                <c:pt idx="17">
                  <c:v>2</c:v>
                </c:pt>
                <c:pt idx="18">
                  <c:v>4</c:v>
                </c:pt>
              </c:numCache>
            </c:numRef>
          </c:val>
          <c:extLst>
            <c:ext xmlns:c16="http://schemas.microsoft.com/office/drawing/2014/chart" uri="{C3380CC4-5D6E-409C-BE32-E72D297353CC}">
              <c16:uniqueId val="{00000000-767E-4EE7-9330-7437D3BF8D77}"/>
            </c:ext>
          </c:extLst>
        </c:ser>
        <c:ser>
          <c:idx val="1"/>
          <c:order val="1"/>
          <c:tx>
            <c:strRef>
              <c:f>'Pivot Tables'!$O$22:$O$23</c:f>
              <c:strCache>
                <c:ptCount val="1"/>
                <c:pt idx="0">
                  <c:v>Interview</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Tables'!$O$24:$O$44</c:f>
              <c:numCache>
                <c:formatCode>General</c:formatCode>
                <c:ptCount val="19"/>
                <c:pt idx="0">
                  <c:v>1</c:v>
                </c:pt>
                <c:pt idx="2">
                  <c:v>4</c:v>
                </c:pt>
                <c:pt idx="3">
                  <c:v>1</c:v>
                </c:pt>
                <c:pt idx="4">
                  <c:v>2</c:v>
                </c:pt>
                <c:pt idx="5">
                  <c:v>1</c:v>
                </c:pt>
                <c:pt idx="6">
                  <c:v>2</c:v>
                </c:pt>
                <c:pt idx="7">
                  <c:v>1</c:v>
                </c:pt>
                <c:pt idx="8">
                  <c:v>1</c:v>
                </c:pt>
                <c:pt idx="9">
                  <c:v>2</c:v>
                </c:pt>
                <c:pt idx="10">
                  <c:v>1</c:v>
                </c:pt>
                <c:pt idx="11">
                  <c:v>2</c:v>
                </c:pt>
                <c:pt idx="12">
                  <c:v>3</c:v>
                </c:pt>
                <c:pt idx="13">
                  <c:v>3</c:v>
                </c:pt>
                <c:pt idx="15">
                  <c:v>1</c:v>
                </c:pt>
                <c:pt idx="17">
                  <c:v>1</c:v>
                </c:pt>
                <c:pt idx="18">
                  <c:v>2</c:v>
                </c:pt>
              </c:numCache>
            </c:numRef>
          </c:val>
          <c:extLst>
            <c:ext xmlns:c16="http://schemas.microsoft.com/office/drawing/2014/chart" uri="{C3380CC4-5D6E-409C-BE32-E72D297353CC}">
              <c16:uniqueId val="{00000000-872D-437A-A033-71D592ABB14F}"/>
            </c:ext>
          </c:extLst>
        </c:ser>
        <c:ser>
          <c:idx val="2"/>
          <c:order val="2"/>
          <c:tx>
            <c:strRef>
              <c:f>'Pivot Tables'!$P$22:$P$23</c:f>
              <c:strCache>
                <c:ptCount val="1"/>
                <c:pt idx="0">
                  <c:v>Offer</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Tables'!$P$24:$P$44</c:f>
              <c:numCache>
                <c:formatCode>General</c:formatCode>
                <c:ptCount val="19"/>
                <c:pt idx="0">
                  <c:v>2</c:v>
                </c:pt>
                <c:pt idx="2">
                  <c:v>3</c:v>
                </c:pt>
                <c:pt idx="3">
                  <c:v>1</c:v>
                </c:pt>
                <c:pt idx="4">
                  <c:v>2</c:v>
                </c:pt>
                <c:pt idx="6">
                  <c:v>1</c:v>
                </c:pt>
                <c:pt idx="7">
                  <c:v>2</c:v>
                </c:pt>
                <c:pt idx="9">
                  <c:v>2</c:v>
                </c:pt>
                <c:pt idx="10">
                  <c:v>1</c:v>
                </c:pt>
                <c:pt idx="11">
                  <c:v>2</c:v>
                </c:pt>
                <c:pt idx="13">
                  <c:v>1</c:v>
                </c:pt>
                <c:pt idx="14">
                  <c:v>5</c:v>
                </c:pt>
                <c:pt idx="15">
                  <c:v>1</c:v>
                </c:pt>
                <c:pt idx="16">
                  <c:v>1</c:v>
                </c:pt>
                <c:pt idx="17">
                  <c:v>3</c:v>
                </c:pt>
                <c:pt idx="18">
                  <c:v>1</c:v>
                </c:pt>
              </c:numCache>
            </c:numRef>
          </c:val>
          <c:extLst>
            <c:ext xmlns:c16="http://schemas.microsoft.com/office/drawing/2014/chart" uri="{C3380CC4-5D6E-409C-BE32-E72D297353CC}">
              <c16:uniqueId val="{00000001-872D-437A-A033-71D592ABB14F}"/>
            </c:ext>
          </c:extLst>
        </c:ser>
        <c:ser>
          <c:idx val="3"/>
          <c:order val="3"/>
          <c:tx>
            <c:strRef>
              <c:f>'Pivot Tables'!$Q$22:$Q$23</c:f>
              <c:strCache>
                <c:ptCount val="1"/>
                <c:pt idx="0">
                  <c:v>Rejected</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Tables'!$Q$24:$Q$44</c:f>
              <c:numCache>
                <c:formatCode>General</c:formatCode>
                <c:ptCount val="19"/>
                <c:pt idx="0">
                  <c:v>1</c:v>
                </c:pt>
                <c:pt idx="1">
                  <c:v>2</c:v>
                </c:pt>
                <c:pt idx="2">
                  <c:v>2</c:v>
                </c:pt>
                <c:pt idx="4">
                  <c:v>2</c:v>
                </c:pt>
                <c:pt idx="5">
                  <c:v>1</c:v>
                </c:pt>
                <c:pt idx="6">
                  <c:v>1</c:v>
                </c:pt>
                <c:pt idx="7">
                  <c:v>3</c:v>
                </c:pt>
                <c:pt idx="8">
                  <c:v>1</c:v>
                </c:pt>
                <c:pt idx="10">
                  <c:v>1</c:v>
                </c:pt>
                <c:pt idx="11">
                  <c:v>1</c:v>
                </c:pt>
                <c:pt idx="12">
                  <c:v>2</c:v>
                </c:pt>
                <c:pt idx="14">
                  <c:v>1</c:v>
                </c:pt>
                <c:pt idx="15">
                  <c:v>1</c:v>
                </c:pt>
                <c:pt idx="16">
                  <c:v>2</c:v>
                </c:pt>
                <c:pt idx="18">
                  <c:v>2</c:v>
                </c:pt>
              </c:numCache>
            </c:numRef>
          </c:val>
          <c:extLst>
            <c:ext xmlns:c16="http://schemas.microsoft.com/office/drawing/2014/chart" uri="{C3380CC4-5D6E-409C-BE32-E72D297353CC}">
              <c16:uniqueId val="{00000002-872D-437A-A033-71D592ABB14F}"/>
            </c:ext>
          </c:extLst>
        </c:ser>
        <c:dLbls>
          <c:showLegendKey val="0"/>
          <c:showVal val="0"/>
          <c:showCatName val="0"/>
          <c:showSerName val="0"/>
          <c:showPercent val="0"/>
          <c:showBubbleSize val="0"/>
        </c:dLbls>
        <c:gapWidth val="150"/>
        <c:overlap val="100"/>
        <c:axId val="1101877807"/>
        <c:axId val="1101883087"/>
      </c:barChart>
      <c:catAx>
        <c:axId val="1101877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1883087"/>
        <c:crosses val="autoZero"/>
        <c:auto val="1"/>
        <c:lblAlgn val="ctr"/>
        <c:lblOffset val="100"/>
        <c:noMultiLvlLbl val="0"/>
      </c:catAx>
      <c:valAx>
        <c:axId val="110188308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40000"/>
        <a:lumOff val="60000"/>
      </a:schemeClr>
    </a:solidFill>
    <a:ln w="25400" cap="flat" cmpd="sng" algn="ctr">
      <a:solidFill>
        <a:schemeClr val="accent3"/>
      </a:solidFill>
      <a:prstDash val="soli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Tables!PivotTable14</c:name>
    <c:fmtId val="4"/>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a:t>Top Hiring Companies by Application Volume</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Tables'!$P$84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343-4774-9F5E-2130C48829D2}"/>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343-4774-9F5E-2130C48829D2}"/>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343-4774-9F5E-2130C48829D2}"/>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343-4774-9F5E-2130C48829D2}"/>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343-4774-9F5E-2130C48829D2}"/>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A343-4774-9F5E-2130C48829D2}"/>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A343-4774-9F5E-2130C48829D2}"/>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A343-4774-9F5E-2130C48829D2}"/>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A343-4774-9F5E-2130C48829D2}"/>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A343-4774-9F5E-2130C48829D2}"/>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A343-4774-9F5E-2130C48829D2}"/>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A343-4774-9F5E-2130C48829D2}"/>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A343-4774-9F5E-2130C48829D2}"/>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A343-4774-9F5E-2130C48829D2}"/>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A343-4774-9F5E-2130C48829D2}"/>
              </c:ext>
            </c:extLst>
          </c:dPt>
          <c:dPt>
            <c:idx val="15"/>
            <c:bubble3D val="0"/>
            <c:spPr>
              <a:solidFill>
                <a:schemeClr val="accent4">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F-A343-4774-9F5E-2130C48829D2}"/>
              </c:ext>
            </c:extLst>
          </c:dPt>
          <c:dPt>
            <c:idx val="16"/>
            <c:bubble3D val="0"/>
            <c:spPr>
              <a:solidFill>
                <a:schemeClr val="accent5">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1-A343-4774-9F5E-2130C48829D2}"/>
              </c:ext>
            </c:extLst>
          </c:dPt>
          <c:dPt>
            <c:idx val="17"/>
            <c:bubble3D val="0"/>
            <c:spPr>
              <a:solidFill>
                <a:schemeClr val="accent6">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3-A343-4774-9F5E-2130C48829D2}"/>
              </c:ext>
            </c:extLst>
          </c:dPt>
          <c:dPt>
            <c:idx val="18"/>
            <c:bubble3D val="0"/>
            <c:spPr>
              <a:solidFill>
                <a:schemeClr val="accent1">
                  <a:lumMod val="8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25-A343-4774-9F5E-2130C48829D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Tables'!$O$85:$O$104</c:f>
              <c:strCache>
                <c:ptCount val="19"/>
                <c:pt idx="0">
                  <c:v>Capgemini</c:v>
                </c:pt>
                <c:pt idx="1">
                  <c:v>Zomato</c:v>
                </c:pt>
                <c:pt idx="2">
                  <c:v>Google</c:v>
                </c:pt>
                <c:pt idx="3">
                  <c:v>TCS</c:v>
                </c:pt>
                <c:pt idx="4">
                  <c:v>Deloitte</c:v>
                </c:pt>
                <c:pt idx="5">
                  <c:v>HCL</c:v>
                </c:pt>
                <c:pt idx="6">
                  <c:v>Zoho</c:v>
                </c:pt>
                <c:pt idx="7">
                  <c:v>Swiggy</c:v>
                </c:pt>
                <c:pt idx="8">
                  <c:v>Oracle</c:v>
                </c:pt>
                <c:pt idx="9">
                  <c:v>Paytm</c:v>
                </c:pt>
                <c:pt idx="10">
                  <c:v>Accenture</c:v>
                </c:pt>
                <c:pt idx="11">
                  <c:v>Tech Mahindra</c:v>
                </c:pt>
                <c:pt idx="12">
                  <c:v>Infosys</c:v>
                </c:pt>
                <c:pt idx="13">
                  <c:v>Wipro</c:v>
                </c:pt>
                <c:pt idx="14">
                  <c:v>IBM</c:v>
                </c:pt>
                <c:pt idx="15">
                  <c:v>Flipkart</c:v>
                </c:pt>
                <c:pt idx="16">
                  <c:v>Microsoft</c:v>
                </c:pt>
                <c:pt idx="17">
                  <c:v>Amazon</c:v>
                </c:pt>
                <c:pt idx="18">
                  <c:v>Cognizant</c:v>
                </c:pt>
              </c:strCache>
            </c:strRef>
          </c:cat>
          <c:val>
            <c:numRef>
              <c:f>'Pivot Tables'!$P$85:$P$104</c:f>
              <c:numCache>
                <c:formatCode>General</c:formatCode>
                <c:ptCount val="19"/>
                <c:pt idx="0">
                  <c:v>10</c:v>
                </c:pt>
                <c:pt idx="1">
                  <c:v>9</c:v>
                </c:pt>
                <c:pt idx="2">
                  <c:v>8</c:v>
                </c:pt>
                <c:pt idx="3">
                  <c:v>8</c:v>
                </c:pt>
                <c:pt idx="4">
                  <c:v>8</c:v>
                </c:pt>
                <c:pt idx="5">
                  <c:v>7</c:v>
                </c:pt>
                <c:pt idx="6">
                  <c:v>6</c:v>
                </c:pt>
                <c:pt idx="7">
                  <c:v>5</c:v>
                </c:pt>
                <c:pt idx="8">
                  <c:v>5</c:v>
                </c:pt>
                <c:pt idx="9">
                  <c:v>5</c:v>
                </c:pt>
                <c:pt idx="10">
                  <c:v>5</c:v>
                </c:pt>
                <c:pt idx="11">
                  <c:v>4</c:v>
                </c:pt>
                <c:pt idx="12">
                  <c:v>4</c:v>
                </c:pt>
                <c:pt idx="13">
                  <c:v>3</c:v>
                </c:pt>
                <c:pt idx="14">
                  <c:v>3</c:v>
                </c:pt>
                <c:pt idx="15">
                  <c:v>3</c:v>
                </c:pt>
                <c:pt idx="16">
                  <c:v>3</c:v>
                </c:pt>
                <c:pt idx="17">
                  <c:v>2</c:v>
                </c:pt>
                <c:pt idx="18">
                  <c:v>2</c:v>
                </c:pt>
              </c:numCache>
            </c:numRef>
          </c:val>
          <c:extLst>
            <c:ext xmlns:c16="http://schemas.microsoft.com/office/drawing/2014/chart" uri="{C3380CC4-5D6E-409C-BE32-E72D297353CC}">
              <c16:uniqueId val="{00000002-989B-4C64-B066-6685D47A2A6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40000"/>
        <a:lumOff val="60000"/>
      </a:schemeClr>
    </a:solidFill>
    <a:ln w="25400" cap="flat" cmpd="sng" algn="ctr">
      <a:solidFill>
        <a:schemeClr val="accent2"/>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Tables!PivotTable15</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Skills Demand by Company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Tables'!$Z$80</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Tables'!$Y$81:$Y$89</c:f>
              <c:strCache>
                <c:ptCount val="8"/>
                <c:pt idx="0">
                  <c:v>Cloud;AWS</c:v>
                </c:pt>
                <c:pt idx="1">
                  <c:v>Excel;SQL</c:v>
                </c:pt>
                <c:pt idx="2">
                  <c:v>Finance;Excel</c:v>
                </c:pt>
                <c:pt idx="3">
                  <c:v>Java;SQL</c:v>
                </c:pt>
                <c:pt idx="4">
                  <c:v>JavaScript</c:v>
                </c:pt>
                <c:pt idx="5">
                  <c:v>Operations</c:v>
                </c:pt>
                <c:pt idx="6">
                  <c:v>Python;AI</c:v>
                </c:pt>
                <c:pt idx="7">
                  <c:v>Testing;Selenium</c:v>
                </c:pt>
              </c:strCache>
            </c:strRef>
          </c:cat>
          <c:val>
            <c:numRef>
              <c:f>'Pivot Tables'!$Z$81:$Z$89</c:f>
              <c:numCache>
                <c:formatCode>General</c:formatCode>
                <c:ptCount val="8"/>
                <c:pt idx="0">
                  <c:v>10</c:v>
                </c:pt>
                <c:pt idx="1">
                  <c:v>11</c:v>
                </c:pt>
                <c:pt idx="2">
                  <c:v>11</c:v>
                </c:pt>
                <c:pt idx="3">
                  <c:v>18</c:v>
                </c:pt>
                <c:pt idx="4">
                  <c:v>10</c:v>
                </c:pt>
                <c:pt idx="5">
                  <c:v>13</c:v>
                </c:pt>
                <c:pt idx="6">
                  <c:v>13</c:v>
                </c:pt>
                <c:pt idx="7">
                  <c:v>14</c:v>
                </c:pt>
              </c:numCache>
            </c:numRef>
          </c:val>
          <c:extLst>
            <c:ext xmlns:c16="http://schemas.microsoft.com/office/drawing/2014/chart" uri="{C3380CC4-5D6E-409C-BE32-E72D297353CC}">
              <c16:uniqueId val="{00000000-4CE2-469B-BEEA-17F5F7A1EE03}"/>
            </c:ext>
          </c:extLst>
        </c:ser>
        <c:dLbls>
          <c:showLegendKey val="0"/>
          <c:showVal val="0"/>
          <c:showCatName val="0"/>
          <c:showSerName val="0"/>
          <c:showPercent val="0"/>
          <c:showBubbleSize val="0"/>
        </c:dLbls>
        <c:axId val="235796575"/>
        <c:axId val="235797055"/>
      </c:radarChart>
      <c:catAx>
        <c:axId val="23579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5797055"/>
        <c:crosses val="autoZero"/>
        <c:auto val="1"/>
        <c:lblAlgn val="ctr"/>
        <c:lblOffset val="100"/>
        <c:noMultiLvlLbl val="0"/>
      </c:catAx>
      <c:valAx>
        <c:axId val="23579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3579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5400" cap="flat" cmpd="sng" algn="ctr">
      <a:solidFill>
        <a:schemeClr val="accent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Tables!PivotTable7</c:name>
    <c:fmtId val="2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b="1">
                <a:solidFill>
                  <a:schemeClr val="tx1"/>
                </a:solidFill>
              </a:rPr>
              <a:t>Highest Experience by Company</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9764472578344E-2"/>
          <c:y val="0.23105453940690246"/>
          <c:w val="0.89955480124377007"/>
          <c:h val="0.27923873236214092"/>
        </c:manualLayout>
      </c:layout>
      <c:bar3DChart>
        <c:barDir val="col"/>
        <c:grouping val="clustered"/>
        <c:varyColors val="0"/>
        <c:ser>
          <c:idx val="0"/>
          <c:order val="0"/>
          <c:tx>
            <c:strRef>
              <c:f>'Pivot Tables'!$B$54</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a:sp3d contourW="9525">
              <a:contourClr>
                <a:schemeClr val="accent1">
                  <a:shade val="95000"/>
                </a:schemeClr>
              </a:contourClr>
            </a:sp3d>
          </c:spPr>
          <c:invertIfNegative val="0"/>
          <c:cat>
            <c:multiLvlStrRef>
              <c:f>'Pivot Tables'!$A$55:$A$75</c:f>
              <c:multiLvlStrCache>
                <c:ptCount val="19"/>
                <c:lvl>
                  <c:pt idx="0">
                    <c:v>HCL</c:v>
                  </c:pt>
                  <c:pt idx="1">
                    <c:v>Zomato</c:v>
                  </c:pt>
                  <c:pt idx="2">
                    <c:v>Capgemini</c:v>
                  </c:pt>
                  <c:pt idx="3">
                    <c:v>TCS</c:v>
                  </c:pt>
                  <c:pt idx="4">
                    <c:v>Google</c:v>
                  </c:pt>
                  <c:pt idx="5">
                    <c:v>Deloitte</c:v>
                  </c:pt>
                  <c:pt idx="6">
                    <c:v>Zoho</c:v>
                  </c:pt>
                  <c:pt idx="7">
                    <c:v>Tech Mahindra</c:v>
                  </c:pt>
                  <c:pt idx="8">
                    <c:v>Paytm</c:v>
                  </c:pt>
                  <c:pt idx="9">
                    <c:v>Swiggy</c:v>
                  </c:pt>
                  <c:pt idx="10">
                    <c:v>Oracle</c:v>
                  </c:pt>
                  <c:pt idx="11">
                    <c:v>Infosys</c:v>
                  </c:pt>
                  <c:pt idx="12">
                    <c:v>Microsoft</c:v>
                  </c:pt>
                  <c:pt idx="13">
                    <c:v>Wipro</c:v>
                  </c:pt>
                  <c:pt idx="14">
                    <c:v>Cognizant</c:v>
                  </c:pt>
                  <c:pt idx="15">
                    <c:v>IBM</c:v>
                  </c:pt>
                  <c:pt idx="16">
                    <c:v>Accenture</c:v>
                  </c:pt>
                  <c:pt idx="17">
                    <c:v>Flipkart</c:v>
                  </c:pt>
                  <c:pt idx="18">
                    <c:v>Amazon</c:v>
                  </c:pt>
                </c:lvl>
                <c:lvl>
                  <c:pt idx="0">
                    <c:v>Group1</c:v>
                  </c:pt>
                </c:lvl>
              </c:multiLvlStrCache>
            </c:multiLvlStrRef>
          </c:cat>
          <c:val>
            <c:numRef>
              <c:f>'Pivot Tables'!$B$55:$B$75</c:f>
              <c:numCache>
                <c:formatCode>General</c:formatCode>
                <c:ptCount val="19"/>
                <c:pt idx="0">
                  <c:v>37</c:v>
                </c:pt>
                <c:pt idx="1">
                  <c:v>36</c:v>
                </c:pt>
                <c:pt idx="2">
                  <c:v>34</c:v>
                </c:pt>
                <c:pt idx="3">
                  <c:v>28</c:v>
                </c:pt>
                <c:pt idx="4">
                  <c:v>27</c:v>
                </c:pt>
                <c:pt idx="5">
                  <c:v>24</c:v>
                </c:pt>
                <c:pt idx="6">
                  <c:v>21</c:v>
                </c:pt>
                <c:pt idx="7">
                  <c:v>19</c:v>
                </c:pt>
                <c:pt idx="8">
                  <c:v>19</c:v>
                </c:pt>
                <c:pt idx="9">
                  <c:v>17</c:v>
                </c:pt>
                <c:pt idx="10">
                  <c:v>15</c:v>
                </c:pt>
                <c:pt idx="11">
                  <c:v>15</c:v>
                </c:pt>
                <c:pt idx="12">
                  <c:v>13</c:v>
                </c:pt>
                <c:pt idx="13">
                  <c:v>12</c:v>
                </c:pt>
                <c:pt idx="14">
                  <c:v>11</c:v>
                </c:pt>
                <c:pt idx="15">
                  <c:v>10</c:v>
                </c:pt>
                <c:pt idx="16">
                  <c:v>9</c:v>
                </c:pt>
                <c:pt idx="17">
                  <c:v>6</c:v>
                </c:pt>
                <c:pt idx="18">
                  <c:v>3</c:v>
                </c:pt>
              </c:numCache>
            </c:numRef>
          </c:val>
          <c:extLst>
            <c:ext xmlns:c16="http://schemas.microsoft.com/office/drawing/2014/chart" uri="{C3380CC4-5D6E-409C-BE32-E72D297353CC}">
              <c16:uniqueId val="{00000000-6C40-4E7F-AE3A-4FE4666A95F3}"/>
            </c:ext>
          </c:extLst>
        </c:ser>
        <c:dLbls>
          <c:showLegendKey val="0"/>
          <c:showVal val="0"/>
          <c:showCatName val="0"/>
          <c:showSerName val="0"/>
          <c:showPercent val="0"/>
          <c:showBubbleSize val="0"/>
        </c:dLbls>
        <c:gapWidth val="150"/>
        <c:shape val="box"/>
        <c:axId val="1422685295"/>
        <c:axId val="1422671375"/>
        <c:axId val="0"/>
      </c:bar3DChart>
      <c:catAx>
        <c:axId val="14226852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22671375"/>
        <c:crosses val="autoZero"/>
        <c:auto val="1"/>
        <c:lblAlgn val="ctr"/>
        <c:lblOffset val="100"/>
        <c:noMultiLvlLbl val="0"/>
      </c:catAx>
      <c:valAx>
        <c:axId val="142267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226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Tables!PivotTable16</c:name>
    <c:fmtId val="9"/>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sz="1400"/>
              <a:t>Candidate Experience Breakdown</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pivotFmt>
    </c:pivotFmts>
    <c:plotArea>
      <c:layout/>
      <c:pieChart>
        <c:varyColors val="1"/>
        <c:ser>
          <c:idx val="0"/>
          <c:order val="0"/>
          <c:tx>
            <c:strRef>
              <c:f>'Pivot Tables'!$P$105</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D5FA-478D-B5FA-BCC203A66884}"/>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D5FA-478D-B5FA-BCC203A66884}"/>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D5FA-478D-B5FA-BCC203A66884}"/>
              </c:ext>
            </c:extLst>
          </c:dPt>
          <c:dPt>
            <c:idx val="3"/>
            <c:bubble3D val="0"/>
            <c:spPr>
              <a:solidFill>
                <a:schemeClr val="lt1"/>
              </a:solidFill>
              <a:ln w="19050">
                <a:solidFill>
                  <a:schemeClr val="accent1"/>
                </a:solidFill>
              </a:ln>
              <a:effectLst/>
            </c:spPr>
            <c:extLst>
              <c:ext xmlns:c16="http://schemas.microsoft.com/office/drawing/2014/chart" uri="{C3380CC4-5D6E-409C-BE32-E72D297353CC}">
                <c16:uniqueId val="{00000007-D5FA-478D-B5FA-BCC203A66884}"/>
              </c:ext>
            </c:extLst>
          </c:dPt>
          <c:dPt>
            <c:idx val="4"/>
            <c:bubble3D val="0"/>
            <c:spPr>
              <a:solidFill>
                <a:schemeClr val="lt1"/>
              </a:solidFill>
              <a:ln w="19050">
                <a:solidFill>
                  <a:schemeClr val="accent1"/>
                </a:solidFill>
              </a:ln>
              <a:effectLst/>
            </c:spPr>
            <c:extLst>
              <c:ext xmlns:c16="http://schemas.microsoft.com/office/drawing/2014/chart" uri="{C3380CC4-5D6E-409C-BE32-E72D297353CC}">
                <c16:uniqueId val="{00000009-D5FA-478D-B5FA-BCC203A66884}"/>
              </c:ext>
            </c:extLst>
          </c:dPt>
          <c:dPt>
            <c:idx val="5"/>
            <c:bubble3D val="0"/>
            <c:spPr>
              <a:solidFill>
                <a:schemeClr val="lt1"/>
              </a:solidFill>
              <a:ln w="19050">
                <a:solidFill>
                  <a:schemeClr val="accent1"/>
                </a:solidFill>
              </a:ln>
              <a:effectLst/>
            </c:spPr>
            <c:extLst>
              <c:ext xmlns:c16="http://schemas.microsoft.com/office/drawing/2014/chart" uri="{C3380CC4-5D6E-409C-BE32-E72D297353CC}">
                <c16:uniqueId val="{0000000B-D5FA-478D-B5FA-BCC203A66884}"/>
              </c:ext>
            </c:extLst>
          </c:dPt>
          <c:dLbls>
            <c:spPr>
              <a:no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 Tables'!$O$106:$O$112</c:f>
              <c:strCache>
                <c:ptCount val="6"/>
                <c:pt idx="0">
                  <c:v>1</c:v>
                </c:pt>
                <c:pt idx="1">
                  <c:v>2</c:v>
                </c:pt>
                <c:pt idx="2">
                  <c:v>3</c:v>
                </c:pt>
                <c:pt idx="3">
                  <c:v>4</c:v>
                </c:pt>
                <c:pt idx="4">
                  <c:v>5</c:v>
                </c:pt>
                <c:pt idx="5">
                  <c:v>6</c:v>
                </c:pt>
              </c:strCache>
            </c:strRef>
          </c:cat>
          <c:val>
            <c:numRef>
              <c:f>'Pivot Tables'!$P$106:$P$112</c:f>
              <c:numCache>
                <c:formatCode>General</c:formatCode>
                <c:ptCount val="6"/>
                <c:pt idx="0">
                  <c:v>13</c:v>
                </c:pt>
                <c:pt idx="1">
                  <c:v>21</c:v>
                </c:pt>
                <c:pt idx="2">
                  <c:v>15</c:v>
                </c:pt>
                <c:pt idx="3">
                  <c:v>14</c:v>
                </c:pt>
                <c:pt idx="4">
                  <c:v>22</c:v>
                </c:pt>
                <c:pt idx="5">
                  <c:v>15</c:v>
                </c:pt>
              </c:numCache>
            </c:numRef>
          </c:val>
          <c:extLst>
            <c:ext xmlns:c16="http://schemas.microsoft.com/office/drawing/2014/chart" uri="{C3380CC4-5D6E-409C-BE32-E72D297353CC}">
              <c16:uniqueId val="{0000000C-D5FA-478D-B5FA-BCC203A66884}"/>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5400" cap="flat" cmpd="sng" algn="ctr">
      <a:solidFill>
        <a:schemeClr val="accent6"/>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[Job Application Tracking &amp; Offer Analytics Dashboard(AutoRecovered).xlsx]Pivot Tables!PivotTable17</c:name>
    <c:fmtId val="23"/>
  </c:pivotSource>
  <c:chart>
    <c:title>
      <c:tx>
        <c:rich>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r>
              <a:rPr lang="en-IN" sz="1400"/>
              <a:t>Role Distribution</a:t>
            </a:r>
            <a:endParaRPr lang="en-US" sz="1400"/>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
          <c:idx val="0"/>
          <c:spPr>
            <a:solidFill>
              <a:schemeClr val="dk1">
                <a:tint val="885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Tables'!$Z$95</c:f>
              <c:strCache>
                <c:ptCount val="1"/>
                <c:pt idx="0">
                  <c:v>Total</c:v>
                </c:pt>
              </c:strCache>
            </c:strRef>
          </c:tx>
          <c:spPr>
            <a:ln w="25400" cap="rnd">
              <a:solidFill>
                <a:schemeClr val="lt1"/>
              </a:solidFill>
              <a:round/>
            </a:ln>
            <a:effectLst>
              <a:outerShdw dist="25400" dir="2700000" algn="tl" rotWithShape="0">
                <a:schemeClr val="dk1">
                  <a:tint val="88500"/>
                </a:schemeClr>
              </a:outerShdw>
            </a:effectLst>
          </c:spPr>
          <c:marker>
            <c:symbol val="circle"/>
            <c:size val="14"/>
            <c:spPr>
              <a:solidFill>
                <a:schemeClr val="dk1">
                  <a:tint val="88500"/>
                </a:schemeClr>
              </a:solidFill>
              <a:ln>
                <a:noFill/>
              </a:ln>
              <a:effectLst/>
            </c:spPr>
          </c:marker>
          <c:dLbls>
            <c:spPr>
              <a:solidFill>
                <a:schemeClr val="dk1">
                  <a:tint val="88500"/>
                </a:schemeClr>
              </a:solidFill>
              <a:ln>
                <a:noFill/>
              </a:ln>
              <a:effectLst/>
            </c:spPr>
            <c:txPr>
              <a:bodyPr rot="0" spcFirstLastPara="1" vertOverflow="ellipsis" vert="horz" wrap="square" anchor="ctr" anchorCtr="1"/>
              <a:lstStyle/>
              <a:p>
                <a:pPr>
                  <a:defRPr sz="900" b="1"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'Pivot Tables'!$Y$96:$Y$102</c:f>
              <c:strCache>
                <c:ptCount val="6"/>
                <c:pt idx="0">
                  <c:v>1</c:v>
                </c:pt>
                <c:pt idx="1">
                  <c:v>2</c:v>
                </c:pt>
                <c:pt idx="2">
                  <c:v>3</c:v>
                </c:pt>
                <c:pt idx="3">
                  <c:v>4</c:v>
                </c:pt>
                <c:pt idx="4">
                  <c:v>5</c:v>
                </c:pt>
                <c:pt idx="5">
                  <c:v>6</c:v>
                </c:pt>
              </c:strCache>
            </c:strRef>
          </c:cat>
          <c:val>
            <c:numRef>
              <c:f>'Pivot Tables'!$Z$96:$Z$102</c:f>
              <c:numCache>
                <c:formatCode>General</c:formatCode>
                <c:ptCount val="6"/>
                <c:pt idx="0">
                  <c:v>13</c:v>
                </c:pt>
                <c:pt idx="1">
                  <c:v>21</c:v>
                </c:pt>
                <c:pt idx="2">
                  <c:v>15</c:v>
                </c:pt>
                <c:pt idx="3">
                  <c:v>14</c:v>
                </c:pt>
                <c:pt idx="4">
                  <c:v>22</c:v>
                </c:pt>
                <c:pt idx="5">
                  <c:v>15</c:v>
                </c:pt>
              </c:numCache>
            </c:numRef>
          </c:val>
          <c:smooth val="0"/>
          <c:extLst>
            <c:ext xmlns:c16="http://schemas.microsoft.com/office/drawing/2014/chart" uri="{C3380CC4-5D6E-409C-BE32-E72D297353CC}">
              <c16:uniqueId val="{00000000-E0A5-4994-BE58-456C55F2FC6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917424144"/>
        <c:axId val="917424624"/>
      </c:lineChart>
      <c:catAx>
        <c:axId val="91742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dk1"/>
                </a:solidFill>
                <a:latin typeface="+mn-lt"/>
                <a:ea typeface="+mn-ea"/>
                <a:cs typeface="+mn-cs"/>
              </a:defRPr>
            </a:pPr>
            <a:endParaRPr lang="en-US"/>
          </a:p>
        </c:txPr>
        <c:crossAx val="917424624"/>
        <c:crosses val="autoZero"/>
        <c:auto val="1"/>
        <c:lblAlgn val="ctr"/>
        <c:lblOffset val="100"/>
        <c:noMultiLvlLbl val="0"/>
      </c:catAx>
      <c:valAx>
        <c:axId val="917424624"/>
        <c:scaling>
          <c:orientation val="minMax"/>
        </c:scaling>
        <c:delete val="1"/>
        <c:axPos val="l"/>
        <c:numFmt formatCode="General" sourceLinked="1"/>
        <c:majorTickMark val="none"/>
        <c:minorTickMark val="none"/>
        <c:tickLblPos val="nextTo"/>
        <c:crossAx val="9174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schemeClr>
    </a:solidFill>
    <a:ln w="25400" cap="flat" cmpd="sng" algn="ctr">
      <a:solidFill>
        <a:schemeClr val="accent5"/>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Tables!PivotTable4</c:name>
    <c:fmtId val="4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8100" cap="flat" cmpd="dbl" algn="ctr">
            <a:solidFill>
              <a:schemeClr val="accent1"/>
            </a:solidFill>
            <a:miter lim="800000"/>
          </a:ln>
          <a:effectLst/>
        </c:spPr>
        <c:marker>
          <c:symbol val="circle"/>
          <c:size val="6"/>
          <c:spPr>
            <a:solidFill>
              <a:schemeClr val="accent3"/>
            </a:solidFill>
            <a:ln w="9525" cap="flat" cmpd="sng" algn="ctr">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8100" cap="flat" cmpd="dbl" algn="ctr">
            <a:solidFill>
              <a:schemeClr val="accent1"/>
            </a:solidFill>
            <a:miter lim="800000"/>
          </a:ln>
          <a:effectLst/>
        </c:spPr>
        <c:marker>
          <c:symbol val="circle"/>
          <c:size val="6"/>
          <c:spPr>
            <a:solidFill>
              <a:schemeClr val="accent2"/>
            </a:solidFill>
            <a:ln w="9525" cap="flat" cmpd="sng" algn="ctr">
              <a:solidFill>
                <a:schemeClr val="l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490485515570994"/>
          <c:y val="6.5685181785033603E-2"/>
          <c:w val="0.83336581217779515"/>
          <c:h val="0.67290632793111504"/>
        </c:manualLayout>
      </c:layout>
      <c:lineChart>
        <c:grouping val="standard"/>
        <c:varyColors val="0"/>
        <c:ser>
          <c:idx val="2"/>
          <c:order val="0"/>
          <c:tx>
            <c:strRef>
              <c:f>'Pivot Tables'!$B$23</c:f>
              <c:strCache>
                <c:ptCount val="1"/>
                <c:pt idx="0">
                  <c:v>Average of Salary</c:v>
                </c:pt>
              </c:strCache>
            </c:strRef>
          </c:tx>
          <c:spPr>
            <a:ln w="38100" cap="flat" cmpd="dbl" algn="ctr">
              <a:solidFill>
                <a:schemeClr val="accent3"/>
              </a:solidFill>
              <a:miter lim="800000"/>
            </a:ln>
            <a:effectLst/>
          </c:spPr>
          <c:marker>
            <c:symbol val="circle"/>
            <c:size val="6"/>
            <c:spPr>
              <a:solidFill>
                <a:schemeClr val="accent3"/>
              </a:solidFill>
              <a:ln w="9525" cap="flat" cmpd="sng" algn="ctr">
                <a:solidFill>
                  <a:schemeClr val="lt1"/>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Tables'!$B$24:$B$32</c:f>
              <c:numCache>
                <c:formatCode>General</c:formatCode>
                <c:ptCount val="8"/>
                <c:pt idx="0">
                  <c:v>1861526.0833333333</c:v>
                </c:pt>
                <c:pt idx="1">
                  <c:v>1536117.8181818181</c:v>
                </c:pt>
                <c:pt idx="2">
                  <c:v>1980841</c:v>
                </c:pt>
                <c:pt idx="3">
                  <c:v>1306650.857142857</c:v>
                </c:pt>
                <c:pt idx="4">
                  <c:v>1782723.7692307692</c:v>
                </c:pt>
                <c:pt idx="5">
                  <c:v>2032734.4545454546</c:v>
                </c:pt>
                <c:pt idx="6">
                  <c:v>1603158.5333333334</c:v>
                </c:pt>
                <c:pt idx="7">
                  <c:v>1658084.4</c:v>
                </c:pt>
              </c:numCache>
            </c:numRef>
          </c:val>
          <c:smooth val="0"/>
          <c:extLst>
            <c:ext xmlns:c16="http://schemas.microsoft.com/office/drawing/2014/chart" uri="{C3380CC4-5D6E-409C-BE32-E72D297353CC}">
              <c16:uniqueId val="{00000000-5A63-484E-B676-4C5132BF47D4}"/>
            </c:ext>
          </c:extLst>
        </c:ser>
        <c:ser>
          <c:idx val="0"/>
          <c:order val="1"/>
          <c:tx>
            <c:strRef>
              <c:f>'Pivot Tables'!$C$23</c:f>
              <c:strCache>
                <c:ptCount val="1"/>
                <c:pt idx="0">
                  <c:v>Max of Salary</c:v>
                </c:pt>
              </c:strCache>
            </c:strRef>
          </c:tx>
          <c:spPr>
            <a:ln w="38100" cap="flat" cmpd="dbl" algn="ctr">
              <a:solidFill>
                <a:schemeClr val="accent1"/>
              </a:solidFill>
              <a:miter lim="800000"/>
            </a:ln>
            <a:effectLst/>
          </c:spPr>
          <c:marker>
            <c:symbol val="circle"/>
            <c:size val="6"/>
            <c:spPr>
              <a:solidFill>
                <a:schemeClr val="accent1"/>
              </a:solidFill>
              <a:ln w="9525" cap="flat" cmpd="sng" algn="ctr">
                <a:solidFill>
                  <a:schemeClr val="lt1"/>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Tables'!$C$24:$C$32</c:f>
              <c:numCache>
                <c:formatCode>General</c:formatCode>
                <c:ptCount val="8"/>
                <c:pt idx="0">
                  <c:v>2702187</c:v>
                </c:pt>
                <c:pt idx="1">
                  <c:v>2647006</c:v>
                </c:pt>
                <c:pt idx="2">
                  <c:v>2655788</c:v>
                </c:pt>
                <c:pt idx="3">
                  <c:v>2477087</c:v>
                </c:pt>
                <c:pt idx="4">
                  <c:v>2536732</c:v>
                </c:pt>
                <c:pt idx="5">
                  <c:v>2746588</c:v>
                </c:pt>
                <c:pt idx="6">
                  <c:v>2609904</c:v>
                </c:pt>
                <c:pt idx="7">
                  <c:v>2740169</c:v>
                </c:pt>
              </c:numCache>
            </c:numRef>
          </c:val>
          <c:smooth val="0"/>
          <c:extLst>
            <c:ext xmlns:c16="http://schemas.microsoft.com/office/drawing/2014/chart" uri="{C3380CC4-5D6E-409C-BE32-E72D297353CC}">
              <c16:uniqueId val="{00000001-5A63-484E-B676-4C5132BF47D4}"/>
            </c:ext>
          </c:extLst>
        </c:ser>
        <c:ser>
          <c:idx val="1"/>
          <c:order val="2"/>
          <c:tx>
            <c:strRef>
              <c:f>'Pivot Tables'!$D$23</c:f>
              <c:strCache>
                <c:ptCount val="1"/>
                <c:pt idx="0">
                  <c:v>Min of Salary</c:v>
                </c:pt>
              </c:strCache>
            </c:strRef>
          </c:tx>
          <c:spPr>
            <a:ln w="38100" cap="flat" cmpd="dbl" algn="ctr">
              <a:solidFill>
                <a:schemeClr val="accent2"/>
              </a:solidFill>
              <a:miter lim="800000"/>
            </a:ln>
            <a:effectLst/>
          </c:spPr>
          <c:marker>
            <c:symbol val="circle"/>
            <c:size val="6"/>
            <c:spPr>
              <a:solidFill>
                <a:schemeClr val="accent2"/>
              </a:solidFill>
              <a:ln w="9525" cap="flat" cmpd="sng" algn="ctr">
                <a:solidFill>
                  <a:schemeClr val="lt1"/>
                </a:solidFill>
                <a:round/>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Tables'!$D$24:$D$32</c:f>
              <c:numCache>
                <c:formatCode>General</c:formatCode>
                <c:ptCount val="8"/>
                <c:pt idx="0">
                  <c:v>448465</c:v>
                </c:pt>
                <c:pt idx="1">
                  <c:v>525129</c:v>
                </c:pt>
                <c:pt idx="2">
                  <c:v>895179</c:v>
                </c:pt>
                <c:pt idx="3">
                  <c:v>398941</c:v>
                </c:pt>
                <c:pt idx="4">
                  <c:v>791995</c:v>
                </c:pt>
                <c:pt idx="5">
                  <c:v>526572</c:v>
                </c:pt>
                <c:pt idx="6">
                  <c:v>803351</c:v>
                </c:pt>
                <c:pt idx="7">
                  <c:v>358017</c:v>
                </c:pt>
              </c:numCache>
            </c:numRef>
          </c:val>
          <c:smooth val="0"/>
          <c:extLst>
            <c:ext xmlns:c16="http://schemas.microsoft.com/office/drawing/2014/chart" uri="{C3380CC4-5D6E-409C-BE32-E72D297353CC}">
              <c16:uniqueId val="{00000002-5A63-484E-B676-4C5132BF47D4}"/>
            </c:ext>
          </c:extLst>
        </c:ser>
        <c:dLbls>
          <c:dLblPos val="ctr"/>
          <c:showLegendKey val="0"/>
          <c:showVal val="1"/>
          <c:showCatName val="0"/>
          <c:showSerName val="0"/>
          <c:showPercent val="0"/>
          <c:showBubbleSize val="0"/>
        </c:dLbls>
        <c:marker val="1"/>
        <c:smooth val="0"/>
        <c:axId val="471677167"/>
        <c:axId val="471670927"/>
      </c:lineChart>
      <c:catAx>
        <c:axId val="471677167"/>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1670927"/>
        <c:crosses val="autoZero"/>
        <c:auto val="1"/>
        <c:lblAlgn val="ctr"/>
        <c:lblOffset val="100"/>
        <c:noMultiLvlLbl val="0"/>
      </c:catAx>
      <c:valAx>
        <c:axId val="471670927"/>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7167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w="25400" cap="flat" cmpd="sng" algn="ctr">
      <a:solidFill>
        <a:schemeClr val="accent3"/>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Tables!PivotTable3</c:name>
    <c:fmtId val="11"/>
  </c:pivotSource>
  <c:chart>
    <c:title>
      <c:tx>
        <c:rich>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r>
              <a:rPr lang="en-IN" sz="1400"/>
              <a:t>Total Salary by Company</a:t>
            </a:r>
            <a:endParaRPr lang="en-US" sz="14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
        <c:idx val="26"/>
        <c:spPr>
          <a:solidFill>
            <a:schemeClr val="accent2"/>
          </a:solidFill>
          <a:ln>
            <a:noFill/>
          </a:ln>
          <a:effectLst>
            <a:outerShdw blurRad="254000" sx="102000" sy="102000" algn="ctr" rotWithShape="0">
              <a:prstClr val="black">
                <a:alpha val="20000"/>
              </a:prstClr>
            </a:outerShdw>
          </a:effectLst>
        </c:spPr>
      </c:pivotFmt>
      <c:pivotFmt>
        <c:idx val="27"/>
        <c:spPr>
          <a:solidFill>
            <a:schemeClr val="accent2"/>
          </a:solidFill>
          <a:ln>
            <a:noFill/>
          </a:ln>
          <a:effectLst>
            <a:outerShdw blurRad="254000" sx="102000" sy="102000" algn="ctr" rotWithShape="0">
              <a:prstClr val="black">
                <a:alpha val="20000"/>
              </a:prstClr>
            </a:outerShdw>
          </a:effectLst>
        </c:spPr>
      </c:pivotFmt>
      <c:pivotFmt>
        <c:idx val="28"/>
        <c:spPr>
          <a:solidFill>
            <a:schemeClr val="accent2"/>
          </a:solidFill>
          <a:ln>
            <a:noFill/>
          </a:ln>
          <a:effectLst>
            <a:outerShdw blurRad="254000" sx="102000" sy="102000" algn="ctr" rotWithShape="0">
              <a:prstClr val="black">
                <a:alpha val="20000"/>
              </a:prstClr>
            </a:outerShdw>
          </a:effectLst>
        </c:spPr>
      </c:pivotFmt>
      <c:pivotFmt>
        <c:idx val="29"/>
        <c:spPr>
          <a:solidFill>
            <a:schemeClr val="accent2"/>
          </a:solidFill>
          <a:ln>
            <a:noFill/>
          </a:ln>
          <a:effectLst>
            <a:outerShdw blurRad="254000" sx="102000" sy="102000" algn="ctr" rotWithShape="0">
              <a:prstClr val="black">
                <a:alpha val="20000"/>
              </a:prstClr>
            </a:outerShdw>
          </a:effectLst>
        </c:spPr>
      </c:pivotFmt>
      <c:pivotFmt>
        <c:idx val="30"/>
        <c:spPr>
          <a:solidFill>
            <a:schemeClr val="accent2"/>
          </a:solidFill>
          <a:ln>
            <a:noFill/>
          </a:ln>
          <a:effectLst>
            <a:outerShdw blurRad="254000" sx="102000" sy="102000" algn="ctr" rotWithShape="0">
              <a:prstClr val="black">
                <a:alpha val="20000"/>
              </a:prstClr>
            </a:outerShdw>
          </a:effectLst>
        </c:spPr>
      </c:pivotFmt>
      <c:pivotFmt>
        <c:idx val="31"/>
        <c:spPr>
          <a:solidFill>
            <a:schemeClr val="accent2"/>
          </a:solidFill>
          <a:ln>
            <a:noFill/>
          </a:ln>
          <a:effectLst>
            <a:outerShdw blurRad="254000" sx="102000" sy="102000" algn="ctr" rotWithShape="0">
              <a:prstClr val="black">
                <a:alpha val="20000"/>
              </a:prstClr>
            </a:outerShdw>
          </a:effectLst>
        </c:spPr>
      </c:pivotFmt>
      <c:pivotFmt>
        <c:idx val="32"/>
        <c:spPr>
          <a:solidFill>
            <a:schemeClr val="accent2"/>
          </a:solidFill>
          <a:ln>
            <a:noFill/>
          </a:ln>
          <a:effectLst>
            <a:outerShdw blurRad="254000" sx="102000" sy="102000" algn="ctr" rotWithShape="0">
              <a:prstClr val="black">
                <a:alpha val="20000"/>
              </a:prstClr>
            </a:outerShdw>
          </a:effectLst>
        </c:spPr>
      </c:pivotFmt>
      <c:pivotFmt>
        <c:idx val="33"/>
        <c:spPr>
          <a:solidFill>
            <a:schemeClr val="accent2"/>
          </a:solidFill>
          <a:ln>
            <a:noFill/>
          </a:ln>
          <a:effectLst>
            <a:outerShdw blurRad="254000" sx="102000" sy="102000" algn="ctr" rotWithShape="0">
              <a:prstClr val="black">
                <a:alpha val="20000"/>
              </a:prstClr>
            </a:outerShdw>
          </a:effectLst>
        </c:spPr>
      </c:pivotFmt>
      <c:pivotFmt>
        <c:idx val="34"/>
        <c:spPr>
          <a:solidFill>
            <a:schemeClr val="accent2"/>
          </a:solidFill>
          <a:ln>
            <a:noFill/>
          </a:ln>
          <a:effectLst>
            <a:outerShdw blurRad="254000" sx="102000" sy="102000" algn="ctr" rotWithShape="0">
              <a:prstClr val="black">
                <a:alpha val="20000"/>
              </a:prstClr>
            </a:outerShdw>
          </a:effectLst>
        </c:spPr>
      </c:pivotFmt>
      <c:pivotFmt>
        <c:idx val="35"/>
        <c:spPr>
          <a:solidFill>
            <a:schemeClr val="accent2"/>
          </a:solidFill>
          <a:ln>
            <a:noFill/>
          </a:ln>
          <a:effectLst>
            <a:outerShdw blurRad="254000" sx="102000" sy="102000" algn="ctr" rotWithShape="0">
              <a:prstClr val="black">
                <a:alpha val="20000"/>
              </a:prstClr>
            </a:outerShdw>
          </a:effectLst>
        </c:spPr>
      </c:pivotFmt>
      <c:pivotFmt>
        <c:idx val="36"/>
        <c:spPr>
          <a:solidFill>
            <a:schemeClr val="accent2"/>
          </a:solidFill>
          <a:ln>
            <a:noFill/>
          </a:ln>
          <a:effectLst>
            <a:outerShdw blurRad="254000" sx="102000" sy="102000" algn="ctr" rotWithShape="0">
              <a:prstClr val="black">
                <a:alpha val="20000"/>
              </a:prstClr>
            </a:outerShdw>
          </a:effectLst>
        </c:spPr>
      </c:pivotFmt>
      <c:pivotFmt>
        <c:idx val="37"/>
        <c:spPr>
          <a:solidFill>
            <a:schemeClr val="accent2"/>
          </a:solidFill>
          <a:ln>
            <a:noFill/>
          </a:ln>
          <a:effectLst>
            <a:outerShdw blurRad="254000" sx="102000" sy="102000" algn="ctr" rotWithShape="0">
              <a:prstClr val="black">
                <a:alpha val="20000"/>
              </a:prstClr>
            </a:outerShdw>
          </a:effectLst>
        </c:spPr>
      </c:pivotFmt>
      <c:pivotFmt>
        <c:idx val="38"/>
        <c:spPr>
          <a:solidFill>
            <a:schemeClr val="accent2"/>
          </a:solidFill>
          <a:ln>
            <a:noFill/>
          </a:ln>
          <a:effectLst>
            <a:outerShdw blurRad="254000" sx="102000" sy="102000" algn="ctr" rotWithShape="0">
              <a:prstClr val="black">
                <a:alpha val="20000"/>
              </a:prstClr>
            </a:outerShdw>
          </a:effectLst>
        </c:spPr>
      </c:pivotFmt>
      <c:pivotFmt>
        <c:idx val="39"/>
        <c:spPr>
          <a:solidFill>
            <a:schemeClr val="accent2"/>
          </a:solidFill>
          <a:ln>
            <a:noFill/>
          </a:ln>
          <a:effectLst>
            <a:outerShdw blurRad="254000" sx="102000" sy="102000" algn="ctr" rotWithShape="0">
              <a:prstClr val="black">
                <a:alpha val="20000"/>
              </a:prstClr>
            </a:outerShdw>
          </a:effectLst>
        </c:spPr>
      </c:pivotFmt>
      <c:pivotFmt>
        <c:idx val="40"/>
        <c:spPr>
          <a:solidFill>
            <a:schemeClr val="accent2"/>
          </a:solidFill>
          <a:ln>
            <a:noFill/>
          </a:ln>
          <a:effectLst>
            <a:outerShdw blurRad="254000" sx="102000" sy="102000" algn="ctr" rotWithShape="0">
              <a:prstClr val="black">
                <a:alpha val="20000"/>
              </a:prstClr>
            </a:outerShdw>
          </a:effectLst>
        </c:spPr>
      </c:pivotFmt>
    </c:pivotFmts>
    <c:plotArea>
      <c:layout/>
      <c:ofPieChart>
        <c:ofPieType val="pie"/>
        <c:varyColors val="1"/>
        <c:ser>
          <c:idx val="0"/>
          <c:order val="0"/>
          <c:tx>
            <c:strRef>
              <c:f>'Pivot Tables'!$B$98</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DC6-4CB8-8345-A80195616613}"/>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DC6-4CB8-8345-A80195616613}"/>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DC6-4CB8-8345-A80195616613}"/>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DC6-4CB8-8345-A80195616613}"/>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DC6-4CB8-8345-A80195616613}"/>
              </c:ext>
            </c:extLst>
          </c:dPt>
          <c:dPt>
            <c:idx val="5"/>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DC6-4CB8-8345-A80195616613}"/>
              </c:ext>
            </c:extLst>
          </c:dPt>
          <c:dPt>
            <c:idx val="6"/>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DC6-4CB8-8345-A80195616613}"/>
              </c:ext>
            </c:extLst>
          </c:dPt>
          <c:dPt>
            <c:idx val="7"/>
            <c:bubble3D val="0"/>
            <c:spPr>
              <a:solidFill>
                <a:schemeClr val="accent4">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DC6-4CB8-8345-A80195616613}"/>
              </c:ext>
            </c:extLst>
          </c:dPt>
          <c:dPt>
            <c:idx val="8"/>
            <c:bubble3D val="0"/>
            <c:spPr>
              <a:solidFill>
                <a:schemeClr val="accent6">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7DC6-4CB8-8345-A80195616613}"/>
              </c:ext>
            </c:extLst>
          </c:dPt>
          <c:dPt>
            <c:idx val="9"/>
            <c:bubble3D val="0"/>
            <c:spPr>
              <a:solidFill>
                <a:schemeClr val="accent2">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DC6-4CB8-8345-A80195616613}"/>
              </c:ext>
            </c:extLst>
          </c:dPt>
          <c:dPt>
            <c:idx val="10"/>
            <c:bubble3D val="0"/>
            <c:spPr>
              <a:solidFill>
                <a:schemeClr val="accent4">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DC6-4CB8-8345-A80195616613}"/>
              </c:ext>
            </c:extLst>
          </c:dPt>
          <c:dPt>
            <c:idx val="11"/>
            <c:bubble3D val="0"/>
            <c:spPr>
              <a:solidFill>
                <a:schemeClr val="accent6">
                  <a:lumMod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DC6-4CB8-8345-A80195616613}"/>
              </c:ext>
            </c:extLst>
          </c:dPt>
          <c:dPt>
            <c:idx val="12"/>
            <c:bubble3D val="0"/>
            <c:spPr>
              <a:solidFill>
                <a:schemeClr val="accent2">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DC6-4CB8-8345-A80195616613}"/>
              </c:ext>
            </c:extLst>
          </c:dPt>
          <c:dPt>
            <c:idx val="13"/>
            <c:bubble3D val="0"/>
            <c:spPr>
              <a:solidFill>
                <a:schemeClr val="accent4">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DC6-4CB8-8345-A80195616613}"/>
              </c:ext>
            </c:extLst>
          </c:dPt>
          <c:dPt>
            <c:idx val="14"/>
            <c:bubble3D val="0"/>
            <c:spPr>
              <a:solidFill>
                <a:schemeClr val="accent6">
                  <a:lumMod val="60000"/>
                  <a:lumOff val="4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7DC6-4CB8-8345-A80195616613}"/>
              </c:ext>
            </c:extLst>
          </c:dPt>
          <c:dPt>
            <c:idx val="15"/>
            <c:bubble3D val="0"/>
            <c:spPr>
              <a:solidFill>
                <a:schemeClr val="accent2">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7DC6-4CB8-8345-A80195616613}"/>
              </c:ext>
            </c:extLst>
          </c:dPt>
          <c:dPt>
            <c:idx val="16"/>
            <c:bubble3D val="0"/>
            <c:spPr>
              <a:solidFill>
                <a:schemeClr val="accent4">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7DC6-4CB8-8345-A80195616613}"/>
              </c:ext>
            </c:extLst>
          </c:dPt>
          <c:dPt>
            <c:idx val="17"/>
            <c:bubble3D val="0"/>
            <c:spPr>
              <a:solidFill>
                <a:schemeClr val="accent6">
                  <a:lumMod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3-7DC6-4CB8-8345-A80195616613}"/>
              </c:ext>
            </c:extLst>
          </c:dPt>
          <c:dPt>
            <c:idx val="18"/>
            <c:bubble3D val="0"/>
            <c:spPr>
              <a:solidFill>
                <a:schemeClr val="accent2">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5-7DC6-4CB8-8345-A80195616613}"/>
              </c:ext>
            </c:extLst>
          </c:dPt>
          <c:dPt>
            <c:idx val="19"/>
            <c:bubble3D val="0"/>
            <c:spPr>
              <a:solidFill>
                <a:schemeClr val="accent4">
                  <a:lumMod val="70000"/>
                  <a:lumOff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7-7DC6-4CB8-8345-A8019561661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Tables'!$A$99:$A$118</c:f>
              <c:strCache>
                <c:ptCount val="19"/>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strCache>
            </c:strRef>
          </c:cat>
          <c:val>
            <c:numRef>
              <c:f>'Pivot Tables'!$B$99:$B$118</c:f>
              <c:numCache>
                <c:formatCode>#,##0</c:formatCode>
                <c:ptCount val="19"/>
                <c:pt idx="0">
                  <c:v>6448521</c:v>
                </c:pt>
                <c:pt idx="1">
                  <c:v>4806445</c:v>
                </c:pt>
                <c:pt idx="2">
                  <c:v>17459922</c:v>
                </c:pt>
                <c:pt idx="3">
                  <c:v>3775223</c:v>
                </c:pt>
                <c:pt idx="4">
                  <c:v>12881080</c:v>
                </c:pt>
                <c:pt idx="5">
                  <c:v>4180942</c:v>
                </c:pt>
                <c:pt idx="6">
                  <c:v>11022568</c:v>
                </c:pt>
                <c:pt idx="7">
                  <c:v>13604875</c:v>
                </c:pt>
                <c:pt idx="8">
                  <c:v>4408856</c:v>
                </c:pt>
                <c:pt idx="9">
                  <c:v>7086221</c:v>
                </c:pt>
                <c:pt idx="10">
                  <c:v>5911195</c:v>
                </c:pt>
                <c:pt idx="11">
                  <c:v>8572034</c:v>
                </c:pt>
                <c:pt idx="12">
                  <c:v>10508468</c:v>
                </c:pt>
                <c:pt idx="13">
                  <c:v>7370978</c:v>
                </c:pt>
                <c:pt idx="14">
                  <c:v>15271795</c:v>
                </c:pt>
                <c:pt idx="15">
                  <c:v>5550944</c:v>
                </c:pt>
                <c:pt idx="16">
                  <c:v>5101943</c:v>
                </c:pt>
                <c:pt idx="17">
                  <c:v>10405319</c:v>
                </c:pt>
                <c:pt idx="18">
                  <c:v>15443093</c:v>
                </c:pt>
              </c:numCache>
            </c:numRef>
          </c:val>
          <c:extLst>
            <c:ext xmlns:c16="http://schemas.microsoft.com/office/drawing/2014/chart" uri="{C3380CC4-5D6E-409C-BE32-E72D297353CC}">
              <c16:uniqueId val="{00000028-7DC6-4CB8-8345-A80195616613}"/>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tileRect/>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[Job Application Tracking &amp; Offer Analytics Dashboard(AutoRecovered).xlsx]Pivot Tables!PivotTable18</c:name>
    <c:fmtId val="24"/>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Salary by Experience Level</a:t>
            </a:r>
            <a:endParaRPr lang="en-US" b="1"/>
          </a:p>
        </c:rich>
      </c:tx>
      <c:layout>
        <c:manualLayout>
          <c:xMode val="edge"/>
          <c:yMode val="edge"/>
          <c:x val="0.29927902570022552"/>
          <c:y val="3.78298018902252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w="25400">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Tables'!$B$121</c:f>
              <c:strCache>
                <c:ptCount val="1"/>
                <c:pt idx="0">
                  <c:v>Total</c:v>
                </c:pt>
              </c:strCache>
            </c:strRef>
          </c:tx>
          <c:spPr>
            <a:solidFill>
              <a:schemeClr val="accent5"/>
            </a:solidFill>
            <a:ln>
              <a:noFill/>
            </a:ln>
            <a:effectLst/>
            <a:sp3d/>
          </c:spPr>
          <c:invertIfNegative val="0"/>
          <c:cat>
            <c:strRef>
              <c:f>'Pivot Tables'!$A$122:$A$128</c:f>
              <c:strCache>
                <c:ptCount val="6"/>
                <c:pt idx="0">
                  <c:v>1</c:v>
                </c:pt>
                <c:pt idx="1">
                  <c:v>2</c:v>
                </c:pt>
                <c:pt idx="2">
                  <c:v>3</c:v>
                </c:pt>
                <c:pt idx="3">
                  <c:v>4</c:v>
                </c:pt>
                <c:pt idx="4">
                  <c:v>5</c:v>
                </c:pt>
                <c:pt idx="5">
                  <c:v>6</c:v>
                </c:pt>
              </c:strCache>
            </c:strRef>
          </c:cat>
          <c:val>
            <c:numRef>
              <c:f>'Pivot Tables'!$B$122:$B$128</c:f>
              <c:numCache>
                <c:formatCode>#,##0</c:formatCode>
                <c:ptCount val="6"/>
                <c:pt idx="0">
                  <c:v>21599189</c:v>
                </c:pt>
                <c:pt idx="1">
                  <c:v>31003918</c:v>
                </c:pt>
                <c:pt idx="2">
                  <c:v>28279080</c:v>
                </c:pt>
                <c:pt idx="3">
                  <c:v>21946038</c:v>
                </c:pt>
                <c:pt idx="4">
                  <c:v>37045267</c:v>
                </c:pt>
                <c:pt idx="5">
                  <c:v>29936930</c:v>
                </c:pt>
              </c:numCache>
            </c:numRef>
          </c:val>
          <c:extLst>
            <c:ext xmlns:c16="http://schemas.microsoft.com/office/drawing/2014/chart" uri="{C3380CC4-5D6E-409C-BE32-E72D297353CC}">
              <c16:uniqueId val="{00000001-B6F5-4772-92DF-87A130912F8A}"/>
            </c:ext>
          </c:extLst>
        </c:ser>
        <c:dLbls>
          <c:showLegendKey val="0"/>
          <c:showVal val="0"/>
          <c:showCatName val="0"/>
          <c:showSerName val="0"/>
          <c:showPercent val="0"/>
          <c:showBubbleSize val="0"/>
        </c:dLbls>
        <c:gapWidth val="150"/>
        <c:shape val="box"/>
        <c:axId val="1859027568"/>
        <c:axId val="1859029488"/>
        <c:axId val="0"/>
      </c:bar3DChart>
      <c:catAx>
        <c:axId val="185902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9029488"/>
        <c:crosses val="autoZero"/>
        <c:auto val="1"/>
        <c:lblAlgn val="ctr"/>
        <c:lblOffset val="100"/>
        <c:noMultiLvlLbl val="0"/>
      </c:catAx>
      <c:valAx>
        <c:axId val="1859029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85902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75000"/>
      </a:schemeClr>
    </a:solidFill>
    <a:ln w="25400" cap="flat" cmpd="sng" algn="ctr">
      <a:solidFill>
        <a:schemeClr val="accent4"/>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
        <c:idx val="32"/>
        <c:spPr>
          <a:solidFill>
            <a:schemeClr val="accent1"/>
          </a:solidFill>
          <a:ln>
            <a:noFill/>
          </a:ln>
          <a:effectLst>
            <a:outerShdw blurRad="317500" algn="ctr" rotWithShape="0">
              <a:prstClr val="black">
                <a:alpha val="25000"/>
              </a:prstClr>
            </a:outerShdw>
          </a:effectLst>
        </c:spPr>
      </c:pivotFmt>
      <c:pivotFmt>
        <c:idx val="33"/>
        <c:spPr>
          <a:solidFill>
            <a:schemeClr val="accent1"/>
          </a:solidFill>
          <a:ln>
            <a:noFill/>
          </a:ln>
          <a:effectLst>
            <a:outerShdw blurRad="317500" algn="ctr" rotWithShape="0">
              <a:prstClr val="black">
                <a:alpha val="25000"/>
              </a:prstClr>
            </a:outerShdw>
          </a:effectLst>
        </c:spPr>
      </c:pivotFmt>
      <c:pivotFmt>
        <c:idx val="34"/>
        <c:spPr>
          <a:solidFill>
            <a:schemeClr val="accent1"/>
          </a:solidFill>
          <a:ln>
            <a:noFill/>
          </a:ln>
          <a:effectLst>
            <a:outerShdw blurRad="317500" algn="ctr" rotWithShape="0">
              <a:prstClr val="black">
                <a:alpha val="25000"/>
              </a:prstClr>
            </a:outerShdw>
          </a:effectLst>
        </c:spPr>
      </c:pivotFmt>
      <c:pivotFmt>
        <c:idx val="35"/>
        <c:spPr>
          <a:solidFill>
            <a:schemeClr val="accent1"/>
          </a:solidFill>
          <a:ln>
            <a:noFill/>
          </a:ln>
          <a:effectLst>
            <a:outerShdw blurRad="317500" algn="ctr" rotWithShape="0">
              <a:prstClr val="black">
                <a:alpha val="25000"/>
              </a:prstClr>
            </a:outerShdw>
          </a:effectLst>
        </c:spPr>
      </c:pivotFmt>
      <c:pivotFmt>
        <c:idx val="36"/>
        <c:spPr>
          <a:solidFill>
            <a:schemeClr val="accent1"/>
          </a:solidFill>
          <a:ln>
            <a:noFill/>
          </a:ln>
          <a:effectLst>
            <a:outerShdw blurRad="317500" algn="ctr" rotWithShape="0">
              <a:prstClr val="black">
                <a:alpha val="25000"/>
              </a:prstClr>
            </a:outerShdw>
          </a:effectLst>
        </c:spPr>
      </c:pivotFmt>
      <c:pivotFmt>
        <c:idx val="37"/>
        <c:spPr>
          <a:solidFill>
            <a:schemeClr val="accent1"/>
          </a:solidFill>
          <a:ln>
            <a:noFill/>
          </a:ln>
          <a:effectLst>
            <a:outerShdw blurRad="317500" algn="ctr" rotWithShape="0">
              <a:prstClr val="black">
                <a:alpha val="25000"/>
              </a:prstClr>
            </a:outerShdw>
          </a:effectLst>
        </c:spPr>
      </c:pivotFmt>
      <c:pivotFmt>
        <c:idx val="38"/>
        <c:spPr>
          <a:solidFill>
            <a:schemeClr val="accent1"/>
          </a:solidFill>
          <a:ln>
            <a:noFill/>
          </a:ln>
          <a:effectLst>
            <a:outerShdw blurRad="317500" algn="ctr" rotWithShape="0">
              <a:prstClr val="black">
                <a:alpha val="25000"/>
              </a:prstClr>
            </a:outerShdw>
          </a:effectLst>
        </c:spPr>
      </c:pivotFmt>
      <c:pivotFmt>
        <c:idx val="39"/>
        <c:spPr>
          <a:solidFill>
            <a:schemeClr val="accent1"/>
          </a:solidFill>
          <a:ln>
            <a:noFill/>
          </a:ln>
          <a:effectLst>
            <a:outerShdw blurRad="317500" algn="ctr" rotWithShape="0">
              <a:prstClr val="black">
                <a:alpha val="25000"/>
              </a:prstClr>
            </a:outerShdw>
          </a:effectLst>
        </c:spPr>
      </c:pivotFmt>
      <c:pivotFmt>
        <c:idx val="40"/>
        <c:spPr>
          <a:solidFill>
            <a:schemeClr val="accent1"/>
          </a:solidFill>
          <a:ln>
            <a:noFill/>
          </a:ln>
          <a:effectLst>
            <a:outerShdw blurRad="317500" algn="ctr" rotWithShape="0">
              <a:prstClr val="black">
                <a:alpha val="25000"/>
              </a:prstClr>
            </a:outerShdw>
          </a:effectLst>
        </c:spPr>
      </c:pivotFmt>
      <c:pivotFmt>
        <c:idx val="41"/>
        <c:spPr>
          <a:solidFill>
            <a:schemeClr val="accent1"/>
          </a:solidFill>
          <a:ln>
            <a:noFill/>
          </a:ln>
          <a:effectLst>
            <a:outerShdw blurRad="317500" algn="ctr" rotWithShape="0">
              <a:prstClr val="black">
                <a:alpha val="25000"/>
              </a:prstClr>
            </a:outerShdw>
          </a:effectLst>
        </c:spPr>
      </c:pivotFmt>
      <c:pivotFmt>
        <c:idx val="42"/>
        <c:spPr>
          <a:solidFill>
            <a:schemeClr val="accent1"/>
          </a:solidFill>
          <a:ln>
            <a:noFill/>
          </a:ln>
          <a:effectLst>
            <a:outerShdw blurRad="317500" algn="ctr" rotWithShape="0">
              <a:prstClr val="black">
                <a:alpha val="25000"/>
              </a:prstClr>
            </a:outerShdw>
          </a:effectLst>
        </c:spPr>
      </c:pivotFmt>
      <c:pivotFmt>
        <c:idx val="43"/>
        <c:spPr>
          <a:solidFill>
            <a:schemeClr val="accent1"/>
          </a:solidFill>
          <a:ln>
            <a:noFill/>
          </a:ln>
          <a:effectLst>
            <a:outerShdw blurRad="317500" algn="ctr" rotWithShape="0">
              <a:prstClr val="black">
                <a:alpha val="25000"/>
              </a:prstClr>
            </a:outerShdw>
          </a:effectLst>
        </c:spPr>
      </c:pivotFmt>
      <c:pivotFmt>
        <c:idx val="44"/>
        <c:spPr>
          <a:solidFill>
            <a:schemeClr val="accent1"/>
          </a:solidFill>
          <a:ln>
            <a:noFill/>
          </a:ln>
          <a:effectLst>
            <a:outerShdw blurRad="317500" algn="ctr" rotWithShape="0">
              <a:prstClr val="black">
                <a:alpha val="25000"/>
              </a:prstClr>
            </a:outerShdw>
          </a:effectLst>
        </c:spPr>
      </c:pivotFmt>
      <c:pivotFmt>
        <c:idx val="45"/>
        <c:spPr>
          <a:solidFill>
            <a:schemeClr val="accent1"/>
          </a:solidFill>
          <a:ln>
            <a:noFill/>
          </a:ln>
          <a:effectLst>
            <a:outerShdw blurRad="317500" algn="ctr" rotWithShape="0">
              <a:prstClr val="black">
                <a:alpha val="25000"/>
              </a:prstClr>
            </a:outerShdw>
          </a:effectLst>
        </c:spPr>
      </c:pivotFmt>
      <c:pivotFmt>
        <c:idx val="46"/>
        <c:spPr>
          <a:solidFill>
            <a:schemeClr val="accent1"/>
          </a:solidFill>
          <a:ln>
            <a:noFill/>
          </a:ln>
          <a:effectLst>
            <a:outerShdw blurRad="317500" algn="ctr" rotWithShape="0">
              <a:prstClr val="black">
                <a:alpha val="25000"/>
              </a:prstClr>
            </a:outerShdw>
          </a:effectLst>
        </c:spPr>
      </c:pivotFmt>
      <c:pivotFmt>
        <c:idx val="47"/>
        <c:spPr>
          <a:solidFill>
            <a:schemeClr val="accent1"/>
          </a:solidFill>
          <a:ln>
            <a:noFill/>
          </a:ln>
          <a:effectLst>
            <a:outerShdw blurRad="317500" algn="ctr" rotWithShape="0">
              <a:prstClr val="black">
                <a:alpha val="25000"/>
              </a:prstClr>
            </a:outerShdw>
          </a:effectLst>
        </c:spPr>
      </c:pivotFmt>
      <c:pivotFmt>
        <c:idx val="48"/>
        <c:spPr>
          <a:solidFill>
            <a:schemeClr val="accent1"/>
          </a:solidFill>
          <a:ln>
            <a:noFill/>
          </a:ln>
          <a:effectLst>
            <a:outerShdw blurRad="317500" algn="ctr" rotWithShape="0">
              <a:prstClr val="black">
                <a:alpha val="25000"/>
              </a:prstClr>
            </a:outerShdw>
          </a:effectLst>
        </c:spPr>
      </c:pivotFmt>
      <c:pivotFmt>
        <c:idx val="49"/>
        <c:spPr>
          <a:solidFill>
            <a:schemeClr val="accent1"/>
          </a:solidFill>
          <a:ln>
            <a:noFill/>
          </a:ln>
          <a:effectLst>
            <a:outerShdw blurRad="317500" algn="ctr" rotWithShape="0">
              <a:prstClr val="black">
                <a:alpha val="25000"/>
              </a:prstClr>
            </a:outerShdw>
          </a:effectLst>
        </c:spPr>
      </c:pivotFmt>
      <c:pivotFmt>
        <c:idx val="50"/>
        <c:spPr>
          <a:solidFill>
            <a:schemeClr val="accent1"/>
          </a:solidFill>
          <a:ln>
            <a:noFill/>
          </a:ln>
          <a:effectLst>
            <a:outerShdw blurRad="317500" algn="ctr" rotWithShape="0">
              <a:prstClr val="black">
                <a:alpha val="25000"/>
              </a:prstClr>
            </a:outerShdw>
          </a:effectLst>
        </c:spPr>
      </c:pivotFmt>
      <c:pivotFmt>
        <c:idx val="51"/>
        <c:spPr>
          <a:solidFill>
            <a:schemeClr val="accent1"/>
          </a:solidFill>
          <a:ln>
            <a:noFill/>
          </a:ln>
          <a:effectLst>
            <a:outerShdw blurRad="317500" algn="ctr" rotWithShape="0">
              <a:prstClr val="black">
                <a:alpha val="25000"/>
              </a:prstClr>
            </a:outerShdw>
          </a:effectLst>
        </c:spPr>
      </c:pivotFmt>
      <c:pivotFmt>
        <c:idx val="52"/>
        <c:spPr>
          <a:solidFill>
            <a:schemeClr val="accent1"/>
          </a:solidFill>
          <a:ln>
            <a:noFill/>
          </a:ln>
          <a:effectLst>
            <a:outerShdw blurRad="317500" algn="ctr" rotWithShape="0">
              <a:prstClr val="black">
                <a:alpha val="25000"/>
              </a:prstClr>
            </a:outerShdw>
          </a:effectLst>
        </c:spPr>
      </c:pivotFmt>
      <c:pivotFmt>
        <c:idx val="53"/>
        <c:spPr>
          <a:solidFill>
            <a:schemeClr val="accent1"/>
          </a:solidFill>
          <a:ln>
            <a:noFill/>
          </a:ln>
          <a:effectLst>
            <a:outerShdw blurRad="317500" algn="ctr" rotWithShape="0">
              <a:prstClr val="black">
                <a:alpha val="25000"/>
              </a:prstClr>
            </a:outerShdw>
          </a:effectLst>
        </c:spPr>
      </c:pivotFmt>
      <c:pivotFmt>
        <c:idx val="54"/>
        <c:spPr>
          <a:solidFill>
            <a:schemeClr val="accent1"/>
          </a:solidFill>
          <a:ln>
            <a:noFill/>
          </a:ln>
          <a:effectLst>
            <a:outerShdw blurRad="317500" algn="ctr" rotWithShape="0">
              <a:prstClr val="black">
                <a:alpha val="25000"/>
              </a:prstClr>
            </a:outerShdw>
          </a:effectLst>
        </c:spPr>
      </c:pivotFmt>
      <c:pivotFmt>
        <c:idx val="55"/>
        <c:spPr>
          <a:solidFill>
            <a:schemeClr val="accent1"/>
          </a:solidFill>
          <a:ln>
            <a:noFill/>
          </a:ln>
          <a:effectLst>
            <a:outerShdw blurRad="317500" algn="ctr" rotWithShape="0">
              <a:prstClr val="black">
                <a:alpha val="25000"/>
              </a:prstClr>
            </a:outerShdw>
          </a:effectLst>
        </c:spPr>
      </c:pivotFmt>
      <c:pivotFmt>
        <c:idx val="56"/>
        <c:spPr>
          <a:solidFill>
            <a:schemeClr val="accent1"/>
          </a:solidFill>
          <a:ln>
            <a:noFill/>
          </a:ln>
          <a:effectLst>
            <a:outerShdw blurRad="317500" algn="ctr" rotWithShape="0">
              <a:prstClr val="black">
                <a:alpha val="25000"/>
              </a:prstClr>
            </a:outerShdw>
          </a:effectLst>
        </c:spPr>
      </c:pivotFmt>
      <c:pivotFmt>
        <c:idx val="57"/>
        <c:spPr>
          <a:solidFill>
            <a:schemeClr val="accent1"/>
          </a:solidFill>
          <a:ln>
            <a:noFill/>
          </a:ln>
          <a:effectLst>
            <a:outerShdw blurRad="317500" algn="ctr" rotWithShape="0">
              <a:prstClr val="black">
                <a:alpha val="25000"/>
              </a:prstClr>
            </a:outerShdw>
          </a:effectLst>
        </c:spPr>
      </c:pivotFmt>
      <c:pivotFmt>
        <c:idx val="58"/>
        <c:spPr>
          <a:solidFill>
            <a:schemeClr val="accent1"/>
          </a:solidFill>
          <a:ln>
            <a:noFill/>
          </a:ln>
          <a:effectLst>
            <a:outerShdw blurRad="317500" algn="ctr" rotWithShape="0">
              <a:prstClr val="black">
                <a:alpha val="25000"/>
              </a:prstClr>
            </a:outerShdw>
          </a:effectLst>
        </c:spPr>
      </c:pivotFmt>
      <c:pivotFmt>
        <c:idx val="59"/>
        <c:spPr>
          <a:solidFill>
            <a:schemeClr val="accent1"/>
          </a:solidFill>
          <a:ln>
            <a:noFill/>
          </a:ln>
          <a:effectLst>
            <a:outerShdw blurRad="317500" algn="ctr" rotWithShape="0">
              <a:prstClr val="black">
                <a:alpha val="25000"/>
              </a:prstClr>
            </a:outerShdw>
          </a:effectLst>
        </c:spPr>
      </c:pivotFmt>
      <c:pivotFmt>
        <c:idx val="60"/>
        <c:spPr>
          <a:solidFill>
            <a:schemeClr val="accent1"/>
          </a:solidFill>
          <a:ln>
            <a:noFill/>
          </a:ln>
          <a:effectLst>
            <a:outerShdw blurRad="317500" algn="ctr" rotWithShape="0">
              <a:prstClr val="black">
                <a:alpha val="25000"/>
              </a:prstClr>
            </a:outerShdw>
          </a:effectLst>
        </c:spPr>
      </c:pivotFmt>
      <c:pivotFmt>
        <c:idx val="61"/>
        <c:spPr>
          <a:solidFill>
            <a:schemeClr val="accent1"/>
          </a:solidFill>
          <a:ln>
            <a:noFill/>
          </a:ln>
          <a:effectLst>
            <a:outerShdw blurRad="317500" algn="ctr" rotWithShape="0">
              <a:prstClr val="black">
                <a:alpha val="25000"/>
              </a:prstClr>
            </a:outerShdw>
          </a:effectLst>
        </c:spPr>
      </c:pivotFmt>
      <c:pivotFmt>
        <c:idx val="62"/>
        <c:spPr>
          <a:solidFill>
            <a:schemeClr val="accent1"/>
          </a:solidFill>
          <a:ln>
            <a:noFill/>
          </a:ln>
          <a:effectLst>
            <a:outerShdw blurRad="317500" algn="ctr" rotWithShape="0">
              <a:prstClr val="black">
                <a:alpha val="25000"/>
              </a:prstClr>
            </a:outerShdw>
          </a:effectLst>
        </c:spPr>
      </c:pivotFmt>
      <c:pivotFmt>
        <c:idx val="63"/>
        <c:spPr>
          <a:solidFill>
            <a:schemeClr val="accent1"/>
          </a:solidFill>
          <a:ln>
            <a:noFill/>
          </a:ln>
          <a:effectLst>
            <a:outerShdw blurRad="317500" algn="ctr" rotWithShape="0">
              <a:prstClr val="black">
                <a:alpha val="25000"/>
              </a:prstClr>
            </a:outerShdw>
          </a:effectLst>
        </c:spPr>
      </c:pivotFmt>
      <c:pivotFmt>
        <c:idx val="64"/>
        <c:spPr>
          <a:solidFill>
            <a:schemeClr val="accent1"/>
          </a:solidFill>
          <a:ln>
            <a:noFill/>
          </a:ln>
          <a:effectLst>
            <a:outerShdw blurRad="317500" algn="ctr" rotWithShape="0">
              <a:prstClr val="black">
                <a:alpha val="25000"/>
              </a:prstClr>
            </a:outerShdw>
          </a:effectLst>
        </c:spPr>
      </c:pivotFmt>
      <c:pivotFmt>
        <c:idx val="65"/>
        <c:spPr>
          <a:solidFill>
            <a:schemeClr val="accent1"/>
          </a:solidFill>
          <a:ln>
            <a:noFill/>
          </a:ln>
          <a:effectLst>
            <a:outerShdw blurRad="317500" algn="ctr" rotWithShape="0">
              <a:prstClr val="black">
                <a:alpha val="25000"/>
              </a:prstClr>
            </a:outerShdw>
          </a:effectLst>
        </c:spPr>
      </c:pivotFmt>
      <c:pivotFmt>
        <c:idx val="66"/>
        <c:spPr>
          <a:solidFill>
            <a:schemeClr val="accent1"/>
          </a:solidFill>
          <a:ln>
            <a:noFill/>
          </a:ln>
          <a:effectLst>
            <a:outerShdw blurRad="317500" algn="ctr" rotWithShape="0">
              <a:prstClr val="black">
                <a:alpha val="25000"/>
              </a:prstClr>
            </a:outerShdw>
          </a:effectLst>
        </c:spPr>
      </c:pivotFmt>
      <c:pivotFmt>
        <c:idx val="67"/>
        <c:spPr>
          <a:solidFill>
            <a:schemeClr val="accent1"/>
          </a:solidFill>
          <a:ln>
            <a:noFill/>
          </a:ln>
          <a:effectLst>
            <a:outerShdw blurRad="317500" algn="ctr" rotWithShape="0">
              <a:prstClr val="black">
                <a:alpha val="25000"/>
              </a:prstClr>
            </a:outerShdw>
          </a:effectLst>
        </c:spPr>
      </c:pivotFmt>
      <c:pivotFmt>
        <c:idx val="68"/>
        <c:spPr>
          <a:solidFill>
            <a:schemeClr val="accent1"/>
          </a:solidFill>
          <a:ln>
            <a:noFill/>
          </a:ln>
          <a:effectLst>
            <a:outerShdw blurRad="317500" algn="ctr" rotWithShape="0">
              <a:prstClr val="black">
                <a:alpha val="25000"/>
              </a:prstClr>
            </a:outerShdw>
          </a:effectLst>
        </c:spPr>
      </c:pivotFmt>
      <c:pivotFmt>
        <c:idx val="69"/>
        <c:spPr>
          <a:solidFill>
            <a:schemeClr val="accent1"/>
          </a:solidFill>
          <a:ln>
            <a:noFill/>
          </a:ln>
          <a:effectLst>
            <a:outerShdw blurRad="317500" algn="ctr" rotWithShape="0">
              <a:prstClr val="black">
                <a:alpha val="25000"/>
              </a:prstClr>
            </a:outerShdw>
          </a:effectLst>
        </c:spPr>
      </c:pivotFmt>
      <c:pivotFmt>
        <c:idx val="70"/>
        <c:spPr>
          <a:solidFill>
            <a:schemeClr val="accent1"/>
          </a:solidFill>
          <a:ln>
            <a:noFill/>
          </a:ln>
          <a:effectLst>
            <a:outerShdw blurRad="317500" algn="ctr" rotWithShape="0">
              <a:prstClr val="black">
                <a:alpha val="25000"/>
              </a:prstClr>
            </a:outerShdw>
          </a:effectLst>
        </c:spPr>
      </c:pivotFmt>
      <c:pivotFmt>
        <c:idx val="71"/>
        <c:spPr>
          <a:solidFill>
            <a:schemeClr val="accent1"/>
          </a:solidFill>
          <a:ln>
            <a:noFill/>
          </a:ln>
          <a:effectLst>
            <a:outerShdw blurRad="317500" algn="ctr" rotWithShape="0">
              <a:prstClr val="black">
                <a:alpha val="25000"/>
              </a:prstClr>
            </a:outerShdw>
          </a:effectLst>
        </c:spPr>
      </c:pivotFmt>
      <c:pivotFmt>
        <c:idx val="72"/>
        <c:spPr>
          <a:solidFill>
            <a:schemeClr val="accent1"/>
          </a:solidFill>
          <a:ln>
            <a:noFill/>
          </a:ln>
          <a:effectLst>
            <a:outerShdw blurRad="317500" algn="ctr" rotWithShape="0">
              <a:prstClr val="black">
                <a:alpha val="25000"/>
              </a:prstClr>
            </a:outerShdw>
          </a:effectLst>
        </c:spPr>
      </c:pivotFmt>
      <c:pivotFmt>
        <c:idx val="73"/>
        <c:spPr>
          <a:solidFill>
            <a:schemeClr val="accent1"/>
          </a:solidFill>
          <a:ln>
            <a:noFill/>
          </a:ln>
          <a:effectLst>
            <a:outerShdw blurRad="317500" algn="ctr" rotWithShape="0">
              <a:prstClr val="black">
                <a:alpha val="25000"/>
              </a:prstClr>
            </a:outerShdw>
          </a:effectLst>
        </c:spPr>
      </c:pivotFmt>
      <c:pivotFmt>
        <c:idx val="74"/>
        <c:spPr>
          <a:solidFill>
            <a:schemeClr val="accent1"/>
          </a:solidFill>
          <a:ln>
            <a:noFill/>
          </a:ln>
          <a:effectLst>
            <a:outerShdw blurRad="317500" algn="ctr" rotWithShape="0">
              <a:prstClr val="black">
                <a:alpha val="25000"/>
              </a:prstClr>
            </a:outerShdw>
          </a:effectLst>
        </c:spPr>
      </c:pivotFmt>
      <c:pivotFmt>
        <c:idx val="75"/>
        <c:spPr>
          <a:solidFill>
            <a:schemeClr val="accent1"/>
          </a:solidFill>
          <a:ln>
            <a:noFill/>
          </a:ln>
          <a:effectLst>
            <a:outerShdw blurRad="317500" algn="ctr" rotWithShape="0">
              <a:prstClr val="black">
                <a:alpha val="25000"/>
              </a:prstClr>
            </a:outerShdw>
          </a:effectLst>
        </c:spPr>
      </c:pivotFmt>
      <c:pivotFmt>
        <c:idx val="7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Tables'!$B$1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C95F-43EC-BA9D-118ED130153D}"/>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C95F-43EC-BA9D-118ED130153D}"/>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C95F-43EC-BA9D-118ED130153D}"/>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C95F-43EC-BA9D-118ED130153D}"/>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C95F-43EC-BA9D-118ED130153D}"/>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C95F-43EC-BA9D-118ED130153D}"/>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C95F-43EC-BA9D-118ED130153D}"/>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C95F-43EC-BA9D-118ED130153D}"/>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C95F-43EC-BA9D-118ED130153D}"/>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C95F-43EC-BA9D-118ED130153D}"/>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C95F-43EC-BA9D-118ED130153D}"/>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C95F-43EC-BA9D-118ED130153D}"/>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C95F-43EC-BA9D-118ED130153D}"/>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C95F-43EC-BA9D-118ED130153D}"/>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C95F-43EC-BA9D-118ED130153D}"/>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C95F-43EC-BA9D-118ED130153D}"/>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C95F-43EC-BA9D-118ED130153D}"/>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C95F-43EC-BA9D-118ED130153D}"/>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C95F-43EC-BA9D-118ED13015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Tables'!$A$2:$A$22</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Tables'!$B$2:$B$22</c:f>
              <c:numCache>
                <c:formatCode>General</c:formatCode>
                <c:ptCount val="19"/>
                <c:pt idx="0">
                  <c:v>5</c:v>
                </c:pt>
                <c:pt idx="1">
                  <c:v>2</c:v>
                </c:pt>
                <c:pt idx="2">
                  <c:v>10</c:v>
                </c:pt>
                <c:pt idx="3">
                  <c:v>2</c:v>
                </c:pt>
                <c:pt idx="4">
                  <c:v>8</c:v>
                </c:pt>
                <c:pt idx="5">
                  <c:v>3</c:v>
                </c:pt>
                <c:pt idx="6">
                  <c:v>8</c:v>
                </c:pt>
                <c:pt idx="7">
                  <c:v>7</c:v>
                </c:pt>
                <c:pt idx="8">
                  <c:v>3</c:v>
                </c:pt>
                <c:pt idx="9">
                  <c:v>4</c:v>
                </c:pt>
                <c:pt idx="10">
                  <c:v>3</c:v>
                </c:pt>
                <c:pt idx="11">
                  <c:v>5</c:v>
                </c:pt>
                <c:pt idx="12">
                  <c:v>5</c:v>
                </c:pt>
                <c:pt idx="13">
                  <c:v>5</c:v>
                </c:pt>
                <c:pt idx="14">
                  <c:v>8</c:v>
                </c:pt>
                <c:pt idx="15">
                  <c:v>4</c:v>
                </c:pt>
                <c:pt idx="16">
                  <c:v>3</c:v>
                </c:pt>
                <c:pt idx="17">
                  <c:v>6</c:v>
                </c:pt>
                <c:pt idx="18">
                  <c:v>9</c:v>
                </c:pt>
              </c:numCache>
            </c:numRef>
          </c:val>
          <c:extLst>
            <c:ext xmlns:c16="http://schemas.microsoft.com/office/drawing/2014/chart" uri="{C3380CC4-5D6E-409C-BE32-E72D297353CC}">
              <c16:uniqueId val="{00000000-4490-46B8-AAFC-113B6BC6CBD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Tables!PivotTable2</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200" b="1" i="0" u="none" strike="noStrike" cap="none" baseline="0"/>
              <a:t>Offer Acceptance by Source</a:t>
            </a:r>
            <a:endParaRPr lang="en-US" sz="1200"/>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pPr>
            <a:solidFill>
              <a:schemeClr val="accent1">
                <a:lumMod val="60000"/>
                <a:lumOff val="40000"/>
              </a:schemeClr>
            </a:solidFill>
            <a:ln>
              <a:noFill/>
            </a:ln>
            <a:effectLst>
              <a:glow rad="63500">
                <a:schemeClr val="accent1">
                  <a:satMod val="175000"/>
                  <a:alpha val="25000"/>
                </a:schemeClr>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Tables'!$L$8:$L$11</c:f>
              <c:strCache>
                <c:ptCount val="3"/>
                <c:pt idx="0">
                  <c:v>LinkedIn</c:v>
                </c:pt>
                <c:pt idx="1">
                  <c:v>Naukri</c:v>
                </c:pt>
                <c:pt idx="2">
                  <c:v>Referral</c:v>
                </c:pt>
              </c:strCache>
            </c:strRef>
          </c:cat>
          <c:val>
            <c:numRef>
              <c:f>'Pivot Tables'!$M$8:$M$11</c:f>
              <c:numCache>
                <c:formatCode>General</c:formatCode>
                <c:ptCount val="3"/>
                <c:pt idx="0">
                  <c:v>12</c:v>
                </c:pt>
                <c:pt idx="1">
                  <c:v>6</c:v>
                </c:pt>
                <c:pt idx="2">
                  <c:v>10</c:v>
                </c:pt>
              </c:numCache>
            </c:numRef>
          </c:val>
          <c:extLst>
            <c:ext xmlns:c16="http://schemas.microsoft.com/office/drawing/2014/chart" uri="{C3380CC4-5D6E-409C-BE32-E72D297353CC}">
              <c16:uniqueId val="{00000000-C48E-4A54-B5FF-BDD66AF2398A}"/>
            </c:ext>
          </c:extLst>
        </c:ser>
        <c:dLbls>
          <c:showLegendKey val="0"/>
          <c:showVal val="0"/>
          <c:showCatName val="0"/>
          <c:showSerName val="0"/>
          <c:showPercent val="0"/>
          <c:showBubbleSize val="0"/>
        </c:dLbls>
        <c:gapWidth val="182"/>
        <c:overlap val="-50"/>
        <c:axId val="133558767"/>
        <c:axId val="133560687"/>
      </c:barChart>
      <c:catAx>
        <c:axId val="133558767"/>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60687"/>
        <c:crosses val="autoZero"/>
        <c:auto val="1"/>
        <c:lblAlgn val="ctr"/>
        <c:lblOffset val="100"/>
        <c:noMultiLvlLbl val="0"/>
      </c:catAx>
      <c:valAx>
        <c:axId val="133560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3558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Tables!PivotTable4</c:name>
    <c:fmtId val="0"/>
  </c:pivotSource>
  <c:chart>
    <c:autoTitleDeleted val="0"/>
    <c:pivotFmts>
      <c:pivotFmt>
        <c:idx val="0"/>
        <c:spPr>
          <a:ln w="34925"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1"/>
          <c:order val="0"/>
          <c:tx>
            <c:strRef>
              <c:f>'Pivot Tables'!$B$23</c:f>
              <c:strCache>
                <c:ptCount val="1"/>
                <c:pt idx="0">
                  <c:v>Average of Salary</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Tables'!$B$24:$B$32</c:f>
              <c:numCache>
                <c:formatCode>General</c:formatCode>
                <c:ptCount val="8"/>
                <c:pt idx="0">
                  <c:v>1861526.0833333333</c:v>
                </c:pt>
                <c:pt idx="1">
                  <c:v>1536117.8181818181</c:v>
                </c:pt>
                <c:pt idx="2">
                  <c:v>1980841</c:v>
                </c:pt>
                <c:pt idx="3">
                  <c:v>1306650.857142857</c:v>
                </c:pt>
                <c:pt idx="4">
                  <c:v>1782723.7692307692</c:v>
                </c:pt>
                <c:pt idx="5">
                  <c:v>2032734.4545454546</c:v>
                </c:pt>
                <c:pt idx="6">
                  <c:v>1603158.5333333334</c:v>
                </c:pt>
                <c:pt idx="7">
                  <c:v>1658084.4</c:v>
                </c:pt>
              </c:numCache>
            </c:numRef>
          </c:val>
          <c:smooth val="0"/>
          <c:extLst>
            <c:ext xmlns:c16="http://schemas.microsoft.com/office/drawing/2014/chart" uri="{C3380CC4-5D6E-409C-BE32-E72D297353CC}">
              <c16:uniqueId val="{00000000-79F0-4C4D-8060-3C7DF9BA918B}"/>
            </c:ext>
          </c:extLst>
        </c:ser>
        <c:ser>
          <c:idx val="2"/>
          <c:order val="1"/>
          <c:tx>
            <c:strRef>
              <c:f>'Pivot Tables'!$C$23</c:f>
              <c:strCache>
                <c:ptCount val="1"/>
                <c:pt idx="0">
                  <c:v>Max of Salary</c:v>
                </c:pt>
              </c:strCache>
            </c:strRef>
          </c:tx>
          <c:spPr>
            <a:ln w="34925" cap="rnd">
              <a:solidFill>
                <a:schemeClr val="accent6"/>
              </a:solidFill>
              <a:round/>
            </a:ln>
            <a:effectLst>
              <a:outerShdw blurRad="40000" dist="23000" dir="5400000" rotWithShape="0">
                <a:srgbClr val="000000">
                  <a:alpha val="35000"/>
                </a:srgbClr>
              </a:outerShdw>
            </a:effectLst>
          </c:spPr>
          <c:marker>
            <c:symbol val="none"/>
          </c:marker>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Tables'!$C$24:$C$32</c:f>
              <c:numCache>
                <c:formatCode>General</c:formatCode>
                <c:ptCount val="8"/>
                <c:pt idx="0">
                  <c:v>2702187</c:v>
                </c:pt>
                <c:pt idx="1">
                  <c:v>2647006</c:v>
                </c:pt>
                <c:pt idx="2">
                  <c:v>2655788</c:v>
                </c:pt>
                <c:pt idx="3">
                  <c:v>2477087</c:v>
                </c:pt>
                <c:pt idx="4">
                  <c:v>2536732</c:v>
                </c:pt>
                <c:pt idx="5">
                  <c:v>2746588</c:v>
                </c:pt>
                <c:pt idx="6">
                  <c:v>2609904</c:v>
                </c:pt>
                <c:pt idx="7">
                  <c:v>2740169</c:v>
                </c:pt>
              </c:numCache>
            </c:numRef>
          </c:val>
          <c:smooth val="0"/>
          <c:extLst>
            <c:ext xmlns:c16="http://schemas.microsoft.com/office/drawing/2014/chart" uri="{C3380CC4-5D6E-409C-BE32-E72D297353CC}">
              <c16:uniqueId val="{00000005-79F0-4C4D-8060-3C7DF9BA918B}"/>
            </c:ext>
          </c:extLst>
        </c:ser>
        <c:ser>
          <c:idx val="0"/>
          <c:order val="2"/>
          <c:tx>
            <c:strRef>
              <c:f>'Pivot Tables'!$D$23</c:f>
              <c:strCache>
                <c:ptCount val="1"/>
                <c:pt idx="0">
                  <c:v>Min of Salary</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strRef>
              <c:f>'Pivot Tables'!$A$24:$A$32</c:f>
              <c:strCache>
                <c:ptCount val="8"/>
                <c:pt idx="0">
                  <c:v>Analyst</c:v>
                </c:pt>
                <c:pt idx="1">
                  <c:v>Consultant</c:v>
                </c:pt>
                <c:pt idx="2">
                  <c:v>Developer</c:v>
                </c:pt>
                <c:pt idx="3">
                  <c:v>Engineer</c:v>
                </c:pt>
                <c:pt idx="4">
                  <c:v>Manager</c:v>
                </c:pt>
                <c:pt idx="5">
                  <c:v>Operations</c:v>
                </c:pt>
                <c:pt idx="6">
                  <c:v>SDE</c:v>
                </c:pt>
                <c:pt idx="7">
                  <c:v>Tester</c:v>
                </c:pt>
              </c:strCache>
            </c:strRef>
          </c:cat>
          <c:val>
            <c:numRef>
              <c:f>'Pivot Tables'!$D$24:$D$32</c:f>
              <c:numCache>
                <c:formatCode>General</c:formatCode>
                <c:ptCount val="8"/>
                <c:pt idx="0">
                  <c:v>448465</c:v>
                </c:pt>
                <c:pt idx="1">
                  <c:v>525129</c:v>
                </c:pt>
                <c:pt idx="2">
                  <c:v>895179</c:v>
                </c:pt>
                <c:pt idx="3">
                  <c:v>398941</c:v>
                </c:pt>
                <c:pt idx="4">
                  <c:v>791995</c:v>
                </c:pt>
                <c:pt idx="5">
                  <c:v>526572</c:v>
                </c:pt>
                <c:pt idx="6">
                  <c:v>803351</c:v>
                </c:pt>
                <c:pt idx="7">
                  <c:v>358017</c:v>
                </c:pt>
              </c:numCache>
            </c:numRef>
          </c:val>
          <c:smooth val="0"/>
          <c:extLst>
            <c:ext xmlns:c16="http://schemas.microsoft.com/office/drawing/2014/chart" uri="{C3380CC4-5D6E-409C-BE32-E72D297353CC}">
              <c16:uniqueId val="{00000006-79F0-4C4D-8060-3C7DF9BA918B}"/>
            </c:ext>
          </c:extLst>
        </c:ser>
        <c:dLbls>
          <c:showLegendKey val="0"/>
          <c:showVal val="0"/>
          <c:showCatName val="0"/>
          <c:showSerName val="0"/>
          <c:showPercent val="0"/>
          <c:showBubbleSize val="0"/>
        </c:dLbls>
        <c:smooth val="0"/>
        <c:axId val="471677167"/>
        <c:axId val="471670927"/>
      </c:lineChart>
      <c:catAx>
        <c:axId val="47167716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70927"/>
        <c:crosses val="autoZero"/>
        <c:auto val="1"/>
        <c:lblAlgn val="ctr"/>
        <c:lblOffset val="100"/>
        <c:noMultiLvlLbl val="0"/>
      </c:catAx>
      <c:valAx>
        <c:axId val="471670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67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Tables!PivotTable5</c:name>
    <c:fmtId val="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stacked"/>
        <c:varyColors val="0"/>
        <c:ser>
          <c:idx val="0"/>
          <c:order val="0"/>
          <c:tx>
            <c:strRef>
              <c:f>'Pivot Tables'!$N$22:$N$23</c:f>
              <c:strCache>
                <c:ptCount val="1"/>
                <c:pt idx="0">
                  <c:v>Applied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Tables'!$N$24:$N$44</c:f>
              <c:numCache>
                <c:formatCode>General</c:formatCode>
                <c:ptCount val="19"/>
                <c:pt idx="0">
                  <c:v>1</c:v>
                </c:pt>
                <c:pt idx="2">
                  <c:v>1</c:v>
                </c:pt>
                <c:pt idx="4">
                  <c:v>2</c:v>
                </c:pt>
                <c:pt idx="5">
                  <c:v>1</c:v>
                </c:pt>
                <c:pt idx="6">
                  <c:v>4</c:v>
                </c:pt>
                <c:pt idx="7">
                  <c:v>1</c:v>
                </c:pt>
                <c:pt idx="8">
                  <c:v>1</c:v>
                </c:pt>
                <c:pt idx="13">
                  <c:v>1</c:v>
                </c:pt>
                <c:pt idx="14">
                  <c:v>2</c:v>
                </c:pt>
                <c:pt idx="15">
                  <c:v>1</c:v>
                </c:pt>
                <c:pt idx="17">
                  <c:v>2</c:v>
                </c:pt>
                <c:pt idx="18">
                  <c:v>4</c:v>
                </c:pt>
              </c:numCache>
            </c:numRef>
          </c:val>
          <c:extLst>
            <c:ext xmlns:c16="http://schemas.microsoft.com/office/drawing/2014/chart" uri="{C3380CC4-5D6E-409C-BE32-E72D297353CC}">
              <c16:uniqueId val="{00000000-2324-419E-81E9-6F750A6B1772}"/>
            </c:ext>
          </c:extLst>
        </c:ser>
        <c:ser>
          <c:idx val="1"/>
          <c:order val="1"/>
          <c:tx>
            <c:strRef>
              <c:f>'Pivot Tables'!$O$22:$O$23</c:f>
              <c:strCache>
                <c:ptCount val="1"/>
                <c:pt idx="0">
                  <c:v>Interview</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Tables'!$O$24:$O$44</c:f>
              <c:numCache>
                <c:formatCode>General</c:formatCode>
                <c:ptCount val="19"/>
                <c:pt idx="0">
                  <c:v>1</c:v>
                </c:pt>
                <c:pt idx="2">
                  <c:v>4</c:v>
                </c:pt>
                <c:pt idx="3">
                  <c:v>1</c:v>
                </c:pt>
                <c:pt idx="4">
                  <c:v>2</c:v>
                </c:pt>
                <c:pt idx="5">
                  <c:v>1</c:v>
                </c:pt>
                <c:pt idx="6">
                  <c:v>2</c:v>
                </c:pt>
                <c:pt idx="7">
                  <c:v>1</c:v>
                </c:pt>
                <c:pt idx="8">
                  <c:v>1</c:v>
                </c:pt>
                <c:pt idx="9">
                  <c:v>2</c:v>
                </c:pt>
                <c:pt idx="10">
                  <c:v>1</c:v>
                </c:pt>
                <c:pt idx="11">
                  <c:v>2</c:v>
                </c:pt>
                <c:pt idx="12">
                  <c:v>3</c:v>
                </c:pt>
                <c:pt idx="13">
                  <c:v>3</c:v>
                </c:pt>
                <c:pt idx="15">
                  <c:v>1</c:v>
                </c:pt>
                <c:pt idx="17">
                  <c:v>1</c:v>
                </c:pt>
                <c:pt idx="18">
                  <c:v>2</c:v>
                </c:pt>
              </c:numCache>
            </c:numRef>
          </c:val>
          <c:extLst>
            <c:ext xmlns:c16="http://schemas.microsoft.com/office/drawing/2014/chart" uri="{C3380CC4-5D6E-409C-BE32-E72D297353CC}">
              <c16:uniqueId val="{00000000-A3EA-4B28-B0B8-C09E3AB11402}"/>
            </c:ext>
          </c:extLst>
        </c:ser>
        <c:ser>
          <c:idx val="2"/>
          <c:order val="2"/>
          <c:tx>
            <c:strRef>
              <c:f>'Pivot Tables'!$P$22:$P$23</c:f>
              <c:strCache>
                <c:ptCount val="1"/>
                <c:pt idx="0">
                  <c:v>Offer</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Tables'!$P$24:$P$44</c:f>
              <c:numCache>
                <c:formatCode>General</c:formatCode>
                <c:ptCount val="19"/>
                <c:pt idx="0">
                  <c:v>2</c:v>
                </c:pt>
                <c:pt idx="2">
                  <c:v>3</c:v>
                </c:pt>
                <c:pt idx="3">
                  <c:v>1</c:v>
                </c:pt>
                <c:pt idx="4">
                  <c:v>2</c:v>
                </c:pt>
                <c:pt idx="6">
                  <c:v>1</c:v>
                </c:pt>
                <c:pt idx="7">
                  <c:v>2</c:v>
                </c:pt>
                <c:pt idx="9">
                  <c:v>2</c:v>
                </c:pt>
                <c:pt idx="10">
                  <c:v>1</c:v>
                </c:pt>
                <c:pt idx="11">
                  <c:v>2</c:v>
                </c:pt>
                <c:pt idx="13">
                  <c:v>1</c:v>
                </c:pt>
                <c:pt idx="14">
                  <c:v>5</c:v>
                </c:pt>
                <c:pt idx="15">
                  <c:v>1</c:v>
                </c:pt>
                <c:pt idx="16">
                  <c:v>1</c:v>
                </c:pt>
                <c:pt idx="17">
                  <c:v>3</c:v>
                </c:pt>
                <c:pt idx="18">
                  <c:v>1</c:v>
                </c:pt>
              </c:numCache>
            </c:numRef>
          </c:val>
          <c:extLst>
            <c:ext xmlns:c16="http://schemas.microsoft.com/office/drawing/2014/chart" uri="{C3380CC4-5D6E-409C-BE32-E72D297353CC}">
              <c16:uniqueId val="{00000001-A3EA-4B28-B0B8-C09E3AB11402}"/>
            </c:ext>
          </c:extLst>
        </c:ser>
        <c:ser>
          <c:idx val="3"/>
          <c:order val="3"/>
          <c:tx>
            <c:strRef>
              <c:f>'Pivot Tables'!$Q$22:$Q$23</c:f>
              <c:strCache>
                <c:ptCount val="1"/>
                <c:pt idx="0">
                  <c:v>Rejected</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invertIfNegative val="0"/>
          <c:cat>
            <c:multiLvlStrRef>
              <c:f>'Pivot Tables'!$M$24:$M$44</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Tables'!$Q$24:$Q$44</c:f>
              <c:numCache>
                <c:formatCode>General</c:formatCode>
                <c:ptCount val="19"/>
                <c:pt idx="0">
                  <c:v>1</c:v>
                </c:pt>
                <c:pt idx="1">
                  <c:v>2</c:v>
                </c:pt>
                <c:pt idx="2">
                  <c:v>2</c:v>
                </c:pt>
                <c:pt idx="4">
                  <c:v>2</c:v>
                </c:pt>
                <c:pt idx="5">
                  <c:v>1</c:v>
                </c:pt>
                <c:pt idx="6">
                  <c:v>1</c:v>
                </c:pt>
                <c:pt idx="7">
                  <c:v>3</c:v>
                </c:pt>
                <c:pt idx="8">
                  <c:v>1</c:v>
                </c:pt>
                <c:pt idx="10">
                  <c:v>1</c:v>
                </c:pt>
                <c:pt idx="11">
                  <c:v>1</c:v>
                </c:pt>
                <c:pt idx="12">
                  <c:v>2</c:v>
                </c:pt>
                <c:pt idx="14">
                  <c:v>1</c:v>
                </c:pt>
                <c:pt idx="15">
                  <c:v>1</c:v>
                </c:pt>
                <c:pt idx="16">
                  <c:v>2</c:v>
                </c:pt>
                <c:pt idx="18">
                  <c:v>2</c:v>
                </c:pt>
              </c:numCache>
            </c:numRef>
          </c:val>
          <c:extLst>
            <c:ext xmlns:c16="http://schemas.microsoft.com/office/drawing/2014/chart" uri="{C3380CC4-5D6E-409C-BE32-E72D297353CC}">
              <c16:uniqueId val="{00000002-A3EA-4B28-B0B8-C09E3AB11402}"/>
            </c:ext>
          </c:extLst>
        </c:ser>
        <c:dLbls>
          <c:showLegendKey val="0"/>
          <c:showVal val="0"/>
          <c:showCatName val="0"/>
          <c:showSerName val="0"/>
          <c:showPercent val="0"/>
          <c:showBubbleSize val="0"/>
        </c:dLbls>
        <c:gapWidth val="150"/>
        <c:overlap val="100"/>
        <c:axId val="1101877807"/>
        <c:axId val="1101883087"/>
      </c:barChart>
      <c:catAx>
        <c:axId val="110187780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1883087"/>
        <c:crosses val="autoZero"/>
        <c:auto val="1"/>
        <c:lblAlgn val="ctr"/>
        <c:lblOffset val="100"/>
        <c:noMultiLvlLbl val="0"/>
      </c:catAx>
      <c:valAx>
        <c:axId val="110188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187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Tables!PivotTable6</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doughnutChart>
        <c:varyColors val="1"/>
        <c:ser>
          <c:idx val="0"/>
          <c:order val="0"/>
          <c:tx>
            <c:strRef>
              <c:f>'Pivot Tables'!$B$41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8B33-493E-9830-49AD04C46AE3}"/>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8B33-493E-9830-49AD04C46AE3}"/>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8B33-493E-9830-49AD04C46AE3}"/>
              </c:ext>
            </c:extLst>
          </c:dPt>
          <c:dPt>
            <c:idx val="3"/>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8B33-493E-9830-49AD04C46AE3}"/>
              </c:ext>
            </c:extLst>
          </c:dPt>
          <c:dPt>
            <c:idx val="4"/>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8B33-493E-9830-49AD04C46AE3}"/>
              </c:ext>
            </c:extLst>
          </c:dPt>
          <c:dPt>
            <c:idx val="5"/>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8B33-493E-9830-49AD04C46AE3}"/>
              </c:ext>
            </c:extLst>
          </c:dPt>
          <c:dPt>
            <c:idx val="6"/>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8B33-493E-9830-49AD04C46AE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Tables'!$A$42:$A$49</c:f>
              <c:strCache>
                <c:ptCount val="7"/>
                <c:pt idx="0">
                  <c:v>Pune</c:v>
                </c:pt>
                <c:pt idx="1">
                  <c:v>Hyderabad</c:v>
                </c:pt>
                <c:pt idx="2">
                  <c:v>Mumbai</c:v>
                </c:pt>
                <c:pt idx="3">
                  <c:v>Chennai</c:v>
                </c:pt>
                <c:pt idx="4">
                  <c:v>Bangalore</c:v>
                </c:pt>
                <c:pt idx="5">
                  <c:v>Mysore</c:v>
                </c:pt>
                <c:pt idx="6">
                  <c:v>Noida</c:v>
                </c:pt>
              </c:strCache>
            </c:strRef>
          </c:cat>
          <c:val>
            <c:numRef>
              <c:f>'Pivot Tables'!$B$42:$B$49</c:f>
              <c:numCache>
                <c:formatCode>General</c:formatCode>
                <c:ptCount val="7"/>
                <c:pt idx="0">
                  <c:v>8</c:v>
                </c:pt>
                <c:pt idx="1">
                  <c:v>17</c:v>
                </c:pt>
                <c:pt idx="2">
                  <c:v>16</c:v>
                </c:pt>
                <c:pt idx="3">
                  <c:v>16</c:v>
                </c:pt>
                <c:pt idx="4">
                  <c:v>15</c:v>
                </c:pt>
                <c:pt idx="5">
                  <c:v>20</c:v>
                </c:pt>
                <c:pt idx="6">
                  <c:v>8</c:v>
                </c:pt>
              </c:numCache>
            </c:numRef>
          </c:val>
          <c:extLst>
            <c:ext xmlns:c16="http://schemas.microsoft.com/office/drawing/2014/chart" uri="{C3380CC4-5D6E-409C-BE32-E72D297353CC}">
              <c16:uniqueId val="{00000000-5180-4259-8A72-FD0265EBD562}"/>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Tables!PivotTable7</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sz="1200" b="1" i="0" u="none" strike="noStrike" cap="all" normalizeH="0" baseline="0"/>
              <a:t>Total Experience by Company</a:t>
            </a:r>
            <a:endParaRPr lang="en-US" sz="1200" b="1"/>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Tables'!$B$54</c:f>
              <c:strCache>
                <c:ptCount val="1"/>
                <c:pt idx="0">
                  <c:v>Total</c:v>
                </c:pt>
              </c:strCache>
            </c:strRef>
          </c:tx>
          <c:spPr>
            <a:pattFill prst="ltUpDiag">
              <a:fgClr>
                <a:schemeClr val="accent1"/>
              </a:fgClr>
              <a:bgClr>
                <a:schemeClr val="lt1"/>
              </a:bgClr>
            </a:pattFill>
            <a:ln>
              <a:noFill/>
            </a:ln>
            <a:effectLst/>
          </c:spPr>
          <c:invertIfNegative val="0"/>
          <c:cat>
            <c:multiLvlStrRef>
              <c:f>'Pivot Tables'!$A$55:$A$75</c:f>
              <c:multiLvlStrCache>
                <c:ptCount val="19"/>
                <c:lvl>
                  <c:pt idx="0">
                    <c:v>HCL</c:v>
                  </c:pt>
                  <c:pt idx="1">
                    <c:v>Zomato</c:v>
                  </c:pt>
                  <c:pt idx="2">
                    <c:v>Capgemini</c:v>
                  </c:pt>
                  <c:pt idx="3">
                    <c:v>TCS</c:v>
                  </c:pt>
                  <c:pt idx="4">
                    <c:v>Google</c:v>
                  </c:pt>
                  <c:pt idx="5">
                    <c:v>Deloitte</c:v>
                  </c:pt>
                  <c:pt idx="6">
                    <c:v>Zoho</c:v>
                  </c:pt>
                  <c:pt idx="7">
                    <c:v>Tech Mahindra</c:v>
                  </c:pt>
                  <c:pt idx="8">
                    <c:v>Paytm</c:v>
                  </c:pt>
                  <c:pt idx="9">
                    <c:v>Swiggy</c:v>
                  </c:pt>
                  <c:pt idx="10">
                    <c:v>Oracle</c:v>
                  </c:pt>
                  <c:pt idx="11">
                    <c:v>Infosys</c:v>
                  </c:pt>
                  <c:pt idx="12">
                    <c:v>Microsoft</c:v>
                  </c:pt>
                  <c:pt idx="13">
                    <c:v>Wipro</c:v>
                  </c:pt>
                  <c:pt idx="14">
                    <c:v>Cognizant</c:v>
                  </c:pt>
                  <c:pt idx="15">
                    <c:v>IBM</c:v>
                  </c:pt>
                  <c:pt idx="16">
                    <c:v>Accenture</c:v>
                  </c:pt>
                  <c:pt idx="17">
                    <c:v>Flipkart</c:v>
                  </c:pt>
                  <c:pt idx="18">
                    <c:v>Amazon</c:v>
                  </c:pt>
                </c:lvl>
                <c:lvl>
                  <c:pt idx="0">
                    <c:v>Group1</c:v>
                  </c:pt>
                </c:lvl>
              </c:multiLvlStrCache>
            </c:multiLvlStrRef>
          </c:cat>
          <c:val>
            <c:numRef>
              <c:f>'Pivot Tables'!$B$55:$B$75</c:f>
              <c:numCache>
                <c:formatCode>General</c:formatCode>
                <c:ptCount val="19"/>
                <c:pt idx="0">
                  <c:v>37</c:v>
                </c:pt>
                <c:pt idx="1">
                  <c:v>36</c:v>
                </c:pt>
                <c:pt idx="2">
                  <c:v>34</c:v>
                </c:pt>
                <c:pt idx="3">
                  <c:v>28</c:v>
                </c:pt>
                <c:pt idx="4">
                  <c:v>27</c:v>
                </c:pt>
                <c:pt idx="5">
                  <c:v>24</c:v>
                </c:pt>
                <c:pt idx="6">
                  <c:v>21</c:v>
                </c:pt>
                <c:pt idx="7">
                  <c:v>19</c:v>
                </c:pt>
                <c:pt idx="8">
                  <c:v>19</c:v>
                </c:pt>
                <c:pt idx="9">
                  <c:v>17</c:v>
                </c:pt>
                <c:pt idx="10">
                  <c:v>15</c:v>
                </c:pt>
                <c:pt idx="11">
                  <c:v>15</c:v>
                </c:pt>
                <c:pt idx="12">
                  <c:v>13</c:v>
                </c:pt>
                <c:pt idx="13">
                  <c:v>12</c:v>
                </c:pt>
                <c:pt idx="14">
                  <c:v>11</c:v>
                </c:pt>
                <c:pt idx="15">
                  <c:v>10</c:v>
                </c:pt>
                <c:pt idx="16">
                  <c:v>9</c:v>
                </c:pt>
                <c:pt idx="17">
                  <c:v>6</c:v>
                </c:pt>
                <c:pt idx="18">
                  <c:v>3</c:v>
                </c:pt>
              </c:numCache>
            </c:numRef>
          </c:val>
          <c:extLst>
            <c:ext xmlns:c16="http://schemas.microsoft.com/office/drawing/2014/chart" uri="{C3380CC4-5D6E-409C-BE32-E72D297353CC}">
              <c16:uniqueId val="{00000000-B43F-4888-A9FC-74748441E7E3}"/>
            </c:ext>
          </c:extLst>
        </c:ser>
        <c:dLbls>
          <c:showLegendKey val="0"/>
          <c:showVal val="0"/>
          <c:showCatName val="0"/>
          <c:showSerName val="0"/>
          <c:showPercent val="0"/>
          <c:showBubbleSize val="0"/>
        </c:dLbls>
        <c:gapWidth val="269"/>
        <c:overlap val="-20"/>
        <c:axId val="1422685295"/>
        <c:axId val="1422671375"/>
      </c:barChart>
      <c:catAx>
        <c:axId val="142268529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22671375"/>
        <c:crosses val="autoZero"/>
        <c:auto val="1"/>
        <c:lblAlgn val="ctr"/>
        <c:lblOffset val="100"/>
        <c:noMultiLvlLbl val="0"/>
      </c:catAx>
      <c:valAx>
        <c:axId val="14226713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268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15875" cap="rnd" cmpd="sng" algn="ctr">
            <a:solidFill>
              <a:schemeClr val="accent1"/>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15875" cap="rnd">
            <a:solidFill>
              <a:schemeClr val="accent1"/>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Tables'!$M$48</c:f>
              <c:strCache>
                <c:ptCount val="1"/>
                <c:pt idx="0">
                  <c:v>Total</c:v>
                </c:pt>
              </c:strCache>
            </c:strRef>
          </c:tx>
          <c:spPr>
            <a:ln w="15875" cap="rnd">
              <a:solidFill>
                <a:schemeClr val="accent1"/>
              </a:solidFill>
              <a:round/>
            </a:ln>
            <a:effectLst>
              <a:outerShdw blurRad="40000" dist="20000" dir="5400000" rotWithShape="0">
                <a:srgbClr val="000000">
                  <a:alpha val="38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Tables'!$L$49:$L$122</c:f>
              <c:strCache>
                <c:ptCount val="73"/>
                <c:pt idx="0">
                  <c:v>17-04-2025</c:v>
                </c:pt>
                <c:pt idx="1">
                  <c:v>03-04-2025</c:v>
                </c:pt>
                <c:pt idx="2">
                  <c:v>22-02-2025</c:v>
                </c:pt>
                <c:pt idx="3">
                  <c:v>29-03-2025</c:v>
                </c:pt>
                <c:pt idx="4">
                  <c:v>09-04-2025</c:v>
                </c:pt>
                <c:pt idx="5">
                  <c:v>11-01-2025</c:v>
                </c:pt>
                <c:pt idx="6">
                  <c:v>17-03-2025</c:v>
                </c:pt>
                <c:pt idx="7">
                  <c:v>26-05-2025</c:v>
                </c:pt>
                <c:pt idx="8">
                  <c:v>09-02-2025</c:v>
                </c:pt>
                <c:pt idx="9">
                  <c:v>24-02-2025</c:v>
                </c:pt>
                <c:pt idx="10">
                  <c:v>18-05-2025</c:v>
                </c:pt>
                <c:pt idx="11">
                  <c:v>29-01-2025</c:v>
                </c:pt>
                <c:pt idx="12">
                  <c:v>02-02-2025</c:v>
                </c:pt>
                <c:pt idx="13">
                  <c:v>25-05-2025</c:v>
                </c:pt>
                <c:pt idx="14">
                  <c:v>14-04-2025</c:v>
                </c:pt>
                <c:pt idx="15">
                  <c:v>02-04-2025</c:v>
                </c:pt>
                <c:pt idx="16">
                  <c:v>20-05-2025</c:v>
                </c:pt>
                <c:pt idx="17">
                  <c:v>22-04-2025</c:v>
                </c:pt>
                <c:pt idx="18">
                  <c:v>06-04-2025</c:v>
                </c:pt>
                <c:pt idx="19">
                  <c:v>21-01-2025</c:v>
                </c:pt>
                <c:pt idx="20">
                  <c:v>29-04-2025</c:v>
                </c:pt>
                <c:pt idx="21">
                  <c:v>26-04-2025</c:v>
                </c:pt>
                <c:pt idx="22">
                  <c:v>15-04-2025</c:v>
                </c:pt>
                <c:pt idx="23">
                  <c:v>11-02-2025</c:v>
                </c:pt>
                <c:pt idx="24">
                  <c:v>11-04-2025</c:v>
                </c:pt>
                <c:pt idx="25">
                  <c:v>14-03-2025</c:v>
                </c:pt>
                <c:pt idx="26">
                  <c:v>08-04-2025</c:v>
                </c:pt>
                <c:pt idx="27">
                  <c:v>24-04-2025</c:v>
                </c:pt>
                <c:pt idx="28">
                  <c:v>07-05-2025</c:v>
                </c:pt>
                <c:pt idx="29">
                  <c:v>21-05-2025</c:v>
                </c:pt>
                <c:pt idx="30">
                  <c:v>13-05-2025</c:v>
                </c:pt>
                <c:pt idx="31">
                  <c:v>19-05-2025</c:v>
                </c:pt>
                <c:pt idx="32">
                  <c:v>19-03-2025</c:v>
                </c:pt>
                <c:pt idx="33">
                  <c:v>23-03-2025</c:v>
                </c:pt>
                <c:pt idx="34">
                  <c:v>05-05-2025</c:v>
                </c:pt>
                <c:pt idx="35">
                  <c:v>12-01-2025</c:v>
                </c:pt>
                <c:pt idx="36">
                  <c:v>27-01-2025</c:v>
                </c:pt>
                <c:pt idx="37">
                  <c:v>30-01-2025</c:v>
                </c:pt>
                <c:pt idx="38">
                  <c:v>09-05-2025</c:v>
                </c:pt>
                <c:pt idx="39">
                  <c:v>08-02-2025</c:v>
                </c:pt>
                <c:pt idx="40">
                  <c:v>12-03-2025</c:v>
                </c:pt>
                <c:pt idx="41">
                  <c:v>10-05-2025</c:v>
                </c:pt>
                <c:pt idx="42">
                  <c:v>01-01-2025</c:v>
                </c:pt>
                <c:pt idx="43">
                  <c:v>18-02-2025</c:v>
                </c:pt>
                <c:pt idx="44">
                  <c:v>02-01-2025</c:v>
                </c:pt>
                <c:pt idx="45">
                  <c:v>30-03-2025</c:v>
                </c:pt>
                <c:pt idx="46">
                  <c:v>05-01-2025</c:v>
                </c:pt>
                <c:pt idx="47">
                  <c:v>28-02-2025</c:v>
                </c:pt>
                <c:pt idx="48">
                  <c:v>27-03-2025</c:v>
                </c:pt>
                <c:pt idx="49">
                  <c:v>08-05-2025</c:v>
                </c:pt>
                <c:pt idx="50">
                  <c:v>06-05-2025</c:v>
                </c:pt>
                <c:pt idx="51">
                  <c:v>31-01-2025</c:v>
                </c:pt>
                <c:pt idx="52">
                  <c:v>24-03-2025</c:v>
                </c:pt>
                <c:pt idx="53">
                  <c:v>03-05-2025</c:v>
                </c:pt>
                <c:pt idx="54">
                  <c:v>10-01-2025</c:v>
                </c:pt>
                <c:pt idx="55">
                  <c:v>21-04-2025</c:v>
                </c:pt>
                <c:pt idx="56">
                  <c:v>18-01-2025</c:v>
                </c:pt>
                <c:pt idx="57">
                  <c:v>15-05-2025</c:v>
                </c:pt>
                <c:pt idx="58">
                  <c:v>06-01-2025</c:v>
                </c:pt>
                <c:pt idx="59">
                  <c:v>11-03-2025</c:v>
                </c:pt>
                <c:pt idx="60">
                  <c:v>13-03-2025</c:v>
                </c:pt>
                <c:pt idx="61">
                  <c:v>15-02-2025</c:v>
                </c:pt>
                <c:pt idx="62">
                  <c:v>09-03-2025</c:v>
                </c:pt>
                <c:pt idx="63">
                  <c:v>26-02-2025</c:v>
                </c:pt>
                <c:pt idx="64">
                  <c:v>12-04-2025</c:v>
                </c:pt>
                <c:pt idx="65">
                  <c:v>29-05-2025</c:v>
                </c:pt>
                <c:pt idx="66">
                  <c:v>22-03-2025</c:v>
                </c:pt>
                <c:pt idx="67">
                  <c:v>02-03-2025</c:v>
                </c:pt>
                <c:pt idx="68">
                  <c:v>17-02-2025</c:v>
                </c:pt>
                <c:pt idx="69">
                  <c:v>04-01-2025</c:v>
                </c:pt>
                <c:pt idx="70">
                  <c:v>02-05-2025</c:v>
                </c:pt>
                <c:pt idx="71">
                  <c:v>13-02-2025</c:v>
                </c:pt>
                <c:pt idx="72">
                  <c:v>19-01-2025</c:v>
                </c:pt>
              </c:strCache>
            </c:strRef>
          </c:cat>
          <c:val>
            <c:numRef>
              <c:f>'Pivot Tables'!$M$49:$M$122</c:f>
              <c:numCache>
                <c:formatCode>General</c:formatCode>
                <c:ptCount val="73"/>
                <c:pt idx="0">
                  <c:v>1</c:v>
                </c:pt>
                <c:pt idx="1">
                  <c:v>2</c:v>
                </c:pt>
                <c:pt idx="2">
                  <c:v>2</c:v>
                </c:pt>
                <c:pt idx="3">
                  <c:v>3</c:v>
                </c:pt>
                <c:pt idx="4">
                  <c:v>2</c:v>
                </c:pt>
                <c:pt idx="5">
                  <c:v>1</c:v>
                </c:pt>
                <c:pt idx="6">
                  <c:v>1</c:v>
                </c:pt>
                <c:pt idx="7">
                  <c:v>1</c:v>
                </c:pt>
                <c:pt idx="8">
                  <c:v>3</c:v>
                </c:pt>
                <c:pt idx="9">
                  <c:v>2</c:v>
                </c:pt>
                <c:pt idx="10">
                  <c:v>1</c:v>
                </c:pt>
                <c:pt idx="11">
                  <c:v>3</c:v>
                </c:pt>
                <c:pt idx="12">
                  <c:v>1</c:v>
                </c:pt>
                <c:pt idx="13">
                  <c:v>1</c:v>
                </c:pt>
                <c:pt idx="14">
                  <c:v>1</c:v>
                </c:pt>
                <c:pt idx="15">
                  <c:v>1</c:v>
                </c:pt>
                <c:pt idx="16">
                  <c:v>1</c:v>
                </c:pt>
                <c:pt idx="17">
                  <c:v>2</c:v>
                </c:pt>
                <c:pt idx="18">
                  <c:v>2</c:v>
                </c:pt>
                <c:pt idx="19">
                  <c:v>2</c:v>
                </c:pt>
                <c:pt idx="20">
                  <c:v>1</c:v>
                </c:pt>
                <c:pt idx="21">
                  <c:v>2</c:v>
                </c:pt>
                <c:pt idx="22">
                  <c:v>2</c:v>
                </c:pt>
                <c:pt idx="23">
                  <c:v>2</c:v>
                </c:pt>
                <c:pt idx="24">
                  <c:v>4</c:v>
                </c:pt>
                <c:pt idx="25">
                  <c:v>2</c:v>
                </c:pt>
                <c:pt idx="26">
                  <c:v>1</c:v>
                </c:pt>
                <c:pt idx="27">
                  <c:v>1</c:v>
                </c:pt>
                <c:pt idx="28">
                  <c:v>1</c:v>
                </c:pt>
                <c:pt idx="29">
                  <c:v>1</c:v>
                </c:pt>
                <c:pt idx="30">
                  <c:v>1</c:v>
                </c:pt>
                <c:pt idx="31">
                  <c:v>2</c:v>
                </c:pt>
                <c:pt idx="32">
                  <c:v>1</c:v>
                </c:pt>
                <c:pt idx="33">
                  <c:v>2</c:v>
                </c:pt>
                <c:pt idx="34">
                  <c:v>1</c:v>
                </c:pt>
                <c:pt idx="35">
                  <c:v>1</c:v>
                </c:pt>
                <c:pt idx="36">
                  <c:v>1</c:v>
                </c:pt>
                <c:pt idx="37">
                  <c:v>1</c:v>
                </c:pt>
                <c:pt idx="38">
                  <c:v>1</c:v>
                </c:pt>
                <c:pt idx="39">
                  <c:v>1</c:v>
                </c:pt>
                <c:pt idx="40">
                  <c:v>2</c:v>
                </c:pt>
                <c:pt idx="41">
                  <c:v>1</c:v>
                </c:pt>
                <c:pt idx="42">
                  <c:v>3</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2</c:v>
                </c:pt>
                <c:pt idx="60">
                  <c:v>1</c:v>
                </c:pt>
                <c:pt idx="61">
                  <c:v>1</c:v>
                </c:pt>
                <c:pt idx="62">
                  <c:v>1</c:v>
                </c:pt>
                <c:pt idx="63">
                  <c:v>1</c:v>
                </c:pt>
                <c:pt idx="64">
                  <c:v>1</c:v>
                </c:pt>
                <c:pt idx="65">
                  <c:v>1</c:v>
                </c:pt>
                <c:pt idx="66">
                  <c:v>1</c:v>
                </c:pt>
                <c:pt idx="67">
                  <c:v>1</c:v>
                </c:pt>
                <c:pt idx="68">
                  <c:v>2</c:v>
                </c:pt>
                <c:pt idx="69">
                  <c:v>1</c:v>
                </c:pt>
                <c:pt idx="70">
                  <c:v>1</c:v>
                </c:pt>
                <c:pt idx="71">
                  <c:v>1</c:v>
                </c:pt>
                <c:pt idx="72">
                  <c:v>1</c:v>
                </c:pt>
              </c:numCache>
            </c:numRef>
          </c:val>
          <c:smooth val="0"/>
          <c:extLst>
            <c:ext xmlns:c16="http://schemas.microsoft.com/office/drawing/2014/chart" uri="{C3380CC4-5D6E-409C-BE32-E72D297353CC}">
              <c16:uniqueId val="{0000000C-B783-43D0-9D34-0399028EA297}"/>
            </c:ext>
          </c:extLst>
        </c:ser>
        <c:dLbls>
          <c:showLegendKey val="0"/>
          <c:showVal val="1"/>
          <c:showCatName val="0"/>
          <c:showSerName val="0"/>
          <c:showPercent val="0"/>
          <c:showBubbleSize val="0"/>
        </c:dLbls>
        <c:smooth val="0"/>
        <c:axId val="1538715775"/>
        <c:axId val="1538710975"/>
      </c:lineChart>
      <c:catAx>
        <c:axId val="153871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38710975"/>
        <c:crosses val="autoZero"/>
        <c:auto val="1"/>
        <c:lblAlgn val="ctr"/>
        <c:lblOffset val="100"/>
        <c:noMultiLvlLbl val="0"/>
      </c:catAx>
      <c:valAx>
        <c:axId val="153871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38715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Tables'!$W$1</c:f>
              <c:strCache>
                <c:ptCount val="1"/>
                <c:pt idx="0">
                  <c:v>Count of Skills</c:v>
                </c:pt>
              </c:strCache>
            </c:strRef>
          </c:tx>
          <c:spPr>
            <a:solidFill>
              <a:schemeClr val="accent1"/>
            </a:solidFill>
            <a:ln>
              <a:noFill/>
            </a:ln>
            <a:effectLst/>
          </c:spPr>
          <c:invertIfNegative val="0"/>
          <c:cat>
            <c:multiLvlStrRef>
              <c:f>'Pivot Tables'!$V$2:$V$22</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Tables'!$W$2:$W$22</c:f>
              <c:numCache>
                <c:formatCode>General</c:formatCode>
                <c:ptCount val="19"/>
                <c:pt idx="0">
                  <c:v>5</c:v>
                </c:pt>
                <c:pt idx="1">
                  <c:v>2</c:v>
                </c:pt>
                <c:pt idx="2">
                  <c:v>10</c:v>
                </c:pt>
                <c:pt idx="3">
                  <c:v>2</c:v>
                </c:pt>
                <c:pt idx="4">
                  <c:v>8</c:v>
                </c:pt>
                <c:pt idx="5">
                  <c:v>3</c:v>
                </c:pt>
                <c:pt idx="6">
                  <c:v>8</c:v>
                </c:pt>
                <c:pt idx="7">
                  <c:v>7</c:v>
                </c:pt>
                <c:pt idx="8">
                  <c:v>3</c:v>
                </c:pt>
                <c:pt idx="9">
                  <c:v>4</c:v>
                </c:pt>
                <c:pt idx="10">
                  <c:v>3</c:v>
                </c:pt>
                <c:pt idx="11">
                  <c:v>5</c:v>
                </c:pt>
                <c:pt idx="12">
                  <c:v>5</c:v>
                </c:pt>
                <c:pt idx="13">
                  <c:v>5</c:v>
                </c:pt>
                <c:pt idx="14">
                  <c:v>8</c:v>
                </c:pt>
                <c:pt idx="15">
                  <c:v>4</c:v>
                </c:pt>
                <c:pt idx="16">
                  <c:v>3</c:v>
                </c:pt>
                <c:pt idx="17">
                  <c:v>6</c:v>
                </c:pt>
                <c:pt idx="18">
                  <c:v>9</c:v>
                </c:pt>
              </c:numCache>
            </c:numRef>
          </c:val>
          <c:extLst>
            <c:ext xmlns:c16="http://schemas.microsoft.com/office/drawing/2014/chart" uri="{C3380CC4-5D6E-409C-BE32-E72D297353CC}">
              <c16:uniqueId val="{00000000-093B-477C-BF5C-DBCF647A55FC}"/>
            </c:ext>
          </c:extLst>
        </c:ser>
        <c:ser>
          <c:idx val="1"/>
          <c:order val="1"/>
          <c:tx>
            <c:strRef>
              <c:f>'Pivot Tables'!$X$1</c:f>
              <c:strCache>
                <c:ptCount val="1"/>
                <c:pt idx="0">
                  <c:v>Sum of Experience</c:v>
                </c:pt>
              </c:strCache>
            </c:strRef>
          </c:tx>
          <c:spPr>
            <a:solidFill>
              <a:schemeClr val="accent2"/>
            </a:solidFill>
            <a:ln>
              <a:noFill/>
            </a:ln>
            <a:effectLst/>
          </c:spPr>
          <c:invertIfNegative val="0"/>
          <c:cat>
            <c:multiLvlStrRef>
              <c:f>'Pivot Tables'!$V$2:$V$22</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Tables'!$X$2:$X$22</c:f>
              <c:numCache>
                <c:formatCode>General</c:formatCode>
                <c:ptCount val="19"/>
                <c:pt idx="0">
                  <c:v>9</c:v>
                </c:pt>
                <c:pt idx="1">
                  <c:v>3</c:v>
                </c:pt>
                <c:pt idx="2">
                  <c:v>34</c:v>
                </c:pt>
                <c:pt idx="3">
                  <c:v>11</c:v>
                </c:pt>
                <c:pt idx="4">
                  <c:v>24</c:v>
                </c:pt>
                <c:pt idx="5">
                  <c:v>6</c:v>
                </c:pt>
                <c:pt idx="6">
                  <c:v>27</c:v>
                </c:pt>
                <c:pt idx="7">
                  <c:v>37</c:v>
                </c:pt>
                <c:pt idx="8">
                  <c:v>10</c:v>
                </c:pt>
                <c:pt idx="9">
                  <c:v>15</c:v>
                </c:pt>
                <c:pt idx="10">
                  <c:v>13</c:v>
                </c:pt>
                <c:pt idx="11">
                  <c:v>15</c:v>
                </c:pt>
                <c:pt idx="12">
                  <c:v>19</c:v>
                </c:pt>
                <c:pt idx="13">
                  <c:v>17</c:v>
                </c:pt>
                <c:pt idx="14">
                  <c:v>28</c:v>
                </c:pt>
                <c:pt idx="15">
                  <c:v>19</c:v>
                </c:pt>
                <c:pt idx="16">
                  <c:v>12</c:v>
                </c:pt>
                <c:pt idx="17">
                  <c:v>21</c:v>
                </c:pt>
                <c:pt idx="18">
                  <c:v>36</c:v>
                </c:pt>
              </c:numCache>
            </c:numRef>
          </c:val>
          <c:extLst>
            <c:ext xmlns:c16="http://schemas.microsoft.com/office/drawing/2014/chart" uri="{C3380CC4-5D6E-409C-BE32-E72D297353CC}">
              <c16:uniqueId val="{00000002-093B-477C-BF5C-DBCF647A55FC}"/>
            </c:ext>
          </c:extLst>
        </c:ser>
        <c:dLbls>
          <c:showLegendKey val="0"/>
          <c:showVal val="0"/>
          <c:showCatName val="0"/>
          <c:showSerName val="0"/>
          <c:showPercent val="0"/>
          <c:showBubbleSize val="0"/>
        </c:dLbls>
        <c:gapWidth val="219"/>
        <c:overlap val="-27"/>
        <c:axId val="1639270335"/>
        <c:axId val="1639271775"/>
      </c:barChart>
      <c:catAx>
        <c:axId val="16392703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71775"/>
        <c:crosses val="autoZero"/>
        <c:auto val="1"/>
        <c:lblAlgn val="ctr"/>
        <c:lblOffset val="100"/>
        <c:noMultiLvlLbl val="0"/>
      </c:catAx>
      <c:valAx>
        <c:axId val="163927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703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Tables!PivotTable10</c:name>
    <c:fmtId val="0"/>
  </c:pivotSource>
  <c:chart>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Tables'!$Y$40</c:f>
              <c:strCache>
                <c:ptCount val="1"/>
                <c:pt idx="0">
                  <c:v>Sum of Current CTC</c:v>
                </c:pt>
              </c:strCache>
            </c:strRef>
          </c:tx>
          <c:spPr>
            <a:solidFill>
              <a:schemeClr val="accent6"/>
            </a:solidFill>
            <a:ln>
              <a:noFill/>
            </a:ln>
            <a:effectLst/>
            <a:sp3d/>
          </c:spPr>
          <c:invertIfNegative val="0"/>
          <c:cat>
            <c:multiLvlStrRef>
              <c:f>'Pivot Tables'!$X$41:$X$61</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Tables'!$Y$41:$Y$61</c:f>
              <c:numCache>
                <c:formatCode>General</c:formatCode>
                <c:ptCount val="19"/>
                <c:pt idx="0">
                  <c:v>5694723</c:v>
                </c:pt>
                <c:pt idx="1">
                  <c:v>4576158</c:v>
                </c:pt>
                <c:pt idx="2">
                  <c:v>16084281</c:v>
                </c:pt>
                <c:pt idx="3">
                  <c:v>3510876</c:v>
                </c:pt>
                <c:pt idx="4">
                  <c:v>11774850</c:v>
                </c:pt>
                <c:pt idx="5">
                  <c:v>3777238</c:v>
                </c:pt>
                <c:pt idx="6">
                  <c:v>9926291</c:v>
                </c:pt>
                <c:pt idx="7">
                  <c:v>12657704</c:v>
                </c:pt>
                <c:pt idx="8">
                  <c:v>3898796</c:v>
                </c:pt>
                <c:pt idx="9">
                  <c:v>6693585</c:v>
                </c:pt>
                <c:pt idx="10">
                  <c:v>5574390</c:v>
                </c:pt>
                <c:pt idx="11">
                  <c:v>8034197</c:v>
                </c:pt>
                <c:pt idx="12">
                  <c:v>10044018</c:v>
                </c:pt>
                <c:pt idx="13">
                  <c:v>6676733</c:v>
                </c:pt>
                <c:pt idx="14">
                  <c:v>14317172</c:v>
                </c:pt>
                <c:pt idx="15">
                  <c:v>5132074</c:v>
                </c:pt>
                <c:pt idx="16">
                  <c:v>4763885</c:v>
                </c:pt>
                <c:pt idx="17">
                  <c:v>9699072</c:v>
                </c:pt>
                <c:pt idx="18">
                  <c:v>14132854</c:v>
                </c:pt>
              </c:numCache>
            </c:numRef>
          </c:val>
          <c:extLst>
            <c:ext xmlns:c16="http://schemas.microsoft.com/office/drawing/2014/chart" uri="{C3380CC4-5D6E-409C-BE32-E72D297353CC}">
              <c16:uniqueId val="{00000005-D862-4B2B-A478-D0DDA686EF42}"/>
            </c:ext>
          </c:extLst>
        </c:ser>
        <c:ser>
          <c:idx val="1"/>
          <c:order val="1"/>
          <c:tx>
            <c:strRef>
              <c:f>'Pivot Tables'!$Z$40</c:f>
              <c:strCache>
                <c:ptCount val="1"/>
                <c:pt idx="0">
                  <c:v>Sum of Expected CTC</c:v>
                </c:pt>
              </c:strCache>
            </c:strRef>
          </c:tx>
          <c:spPr>
            <a:solidFill>
              <a:schemeClr val="accent5"/>
            </a:solidFill>
            <a:ln>
              <a:noFill/>
            </a:ln>
            <a:effectLst/>
            <a:sp3d/>
          </c:spPr>
          <c:invertIfNegative val="0"/>
          <c:cat>
            <c:multiLvlStrRef>
              <c:f>'Pivot Tables'!$X$41:$X$61</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Tables'!$Z$41:$Z$61</c:f>
              <c:numCache>
                <c:formatCode>General</c:formatCode>
                <c:ptCount val="19"/>
                <c:pt idx="0">
                  <c:v>7533703</c:v>
                </c:pt>
                <c:pt idx="1">
                  <c:v>5339194</c:v>
                </c:pt>
                <c:pt idx="2">
                  <c:v>19220967</c:v>
                </c:pt>
                <c:pt idx="3">
                  <c:v>4236676</c:v>
                </c:pt>
                <c:pt idx="4">
                  <c:v>14177762</c:v>
                </c:pt>
                <c:pt idx="5">
                  <c:v>4711586</c:v>
                </c:pt>
                <c:pt idx="6">
                  <c:v>12394980</c:v>
                </c:pt>
                <c:pt idx="7">
                  <c:v>14787635</c:v>
                </c:pt>
                <c:pt idx="8">
                  <c:v>4778972</c:v>
                </c:pt>
                <c:pt idx="9">
                  <c:v>7863618</c:v>
                </c:pt>
                <c:pt idx="10">
                  <c:v>6466870</c:v>
                </c:pt>
                <c:pt idx="11">
                  <c:v>9473693</c:v>
                </c:pt>
                <c:pt idx="12">
                  <c:v>11366337</c:v>
                </c:pt>
                <c:pt idx="13">
                  <c:v>8129528</c:v>
                </c:pt>
                <c:pt idx="14">
                  <c:v>16804694</c:v>
                </c:pt>
                <c:pt idx="15">
                  <c:v>6292836</c:v>
                </c:pt>
                <c:pt idx="16">
                  <c:v>5688793</c:v>
                </c:pt>
                <c:pt idx="17">
                  <c:v>10981821</c:v>
                </c:pt>
                <c:pt idx="18">
                  <c:v>17004872</c:v>
                </c:pt>
              </c:numCache>
            </c:numRef>
          </c:val>
          <c:extLst>
            <c:ext xmlns:c16="http://schemas.microsoft.com/office/drawing/2014/chart" uri="{C3380CC4-5D6E-409C-BE32-E72D297353CC}">
              <c16:uniqueId val="{00000006-D862-4B2B-A478-D0DDA686EF42}"/>
            </c:ext>
          </c:extLst>
        </c:ser>
        <c:dLbls>
          <c:showLegendKey val="0"/>
          <c:showVal val="0"/>
          <c:showCatName val="0"/>
          <c:showSerName val="0"/>
          <c:showPercent val="0"/>
          <c:showBubbleSize val="0"/>
        </c:dLbls>
        <c:gapWidth val="219"/>
        <c:shape val="box"/>
        <c:axId val="1422679535"/>
        <c:axId val="1422680495"/>
        <c:axId val="0"/>
      </c:bar3DChart>
      <c:catAx>
        <c:axId val="142267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80495"/>
        <c:crosses val="autoZero"/>
        <c:auto val="1"/>
        <c:lblAlgn val="ctr"/>
        <c:lblOffset val="100"/>
        <c:noMultiLvlLbl val="0"/>
      </c:catAx>
      <c:valAx>
        <c:axId val="1422680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267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'Pivot Tables'!$AB$18</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cat>
            <c:multiLvlStrRef>
              <c:f>'Pivot Tables'!$AA$19:$AA$39</c:f>
              <c:multiLvlStrCache>
                <c:ptCount val="19"/>
                <c:lvl>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lvl>
                <c:lvl>
                  <c:pt idx="0">
                    <c:v>Group1</c:v>
                  </c:pt>
                </c:lvl>
              </c:multiLvlStrCache>
            </c:multiLvlStrRef>
          </c:cat>
          <c:val>
            <c:numRef>
              <c:f>'Pivot Tables'!$AB$19:$AB$39</c:f>
              <c:numCache>
                <c:formatCode>General</c:formatCode>
                <c:ptCount val="19"/>
                <c:pt idx="0">
                  <c:v>240</c:v>
                </c:pt>
                <c:pt idx="1">
                  <c:v>135</c:v>
                </c:pt>
                <c:pt idx="2">
                  <c:v>540</c:v>
                </c:pt>
                <c:pt idx="3">
                  <c:v>60</c:v>
                </c:pt>
                <c:pt idx="4">
                  <c:v>465</c:v>
                </c:pt>
                <c:pt idx="5">
                  <c:v>105</c:v>
                </c:pt>
                <c:pt idx="6">
                  <c:v>630</c:v>
                </c:pt>
                <c:pt idx="7">
                  <c:v>450</c:v>
                </c:pt>
                <c:pt idx="8">
                  <c:v>105</c:v>
                </c:pt>
                <c:pt idx="9">
                  <c:v>270</c:v>
                </c:pt>
                <c:pt idx="10">
                  <c:v>120</c:v>
                </c:pt>
                <c:pt idx="11">
                  <c:v>195</c:v>
                </c:pt>
                <c:pt idx="12">
                  <c:v>225</c:v>
                </c:pt>
                <c:pt idx="13">
                  <c:v>285</c:v>
                </c:pt>
                <c:pt idx="14">
                  <c:v>390</c:v>
                </c:pt>
                <c:pt idx="15">
                  <c:v>210</c:v>
                </c:pt>
                <c:pt idx="16">
                  <c:v>135</c:v>
                </c:pt>
                <c:pt idx="17">
                  <c:v>375</c:v>
                </c:pt>
                <c:pt idx="18">
                  <c:v>375</c:v>
                </c:pt>
              </c:numCache>
            </c:numRef>
          </c:val>
          <c:extLst>
            <c:ext xmlns:c16="http://schemas.microsoft.com/office/drawing/2014/chart" uri="{C3380CC4-5D6E-409C-BE32-E72D297353CC}">
              <c16:uniqueId val="{00000000-7AE3-4236-940E-3B66B8D09BB7}"/>
            </c:ext>
          </c:extLst>
        </c:ser>
        <c:dLbls>
          <c:showLegendKey val="0"/>
          <c:showVal val="0"/>
          <c:showCatName val="0"/>
          <c:showSerName val="0"/>
          <c:showPercent val="0"/>
          <c:showBubbleSize val="0"/>
        </c:dLbls>
        <c:axId val="1753022383"/>
        <c:axId val="1753019503"/>
      </c:areaChart>
      <c:catAx>
        <c:axId val="1753022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3019503"/>
        <c:crosses val="autoZero"/>
        <c:auto val="1"/>
        <c:lblAlgn val="ctr"/>
        <c:lblOffset val="100"/>
        <c:noMultiLvlLbl val="0"/>
      </c:catAx>
      <c:valAx>
        <c:axId val="1753019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75302238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Tables'!$P$65</c:f>
              <c:strCache>
                <c:ptCount val="1"/>
                <c:pt idx="0">
                  <c:v>Total</c:v>
                </c:pt>
              </c:strCache>
            </c:strRef>
          </c:tx>
          <c:spPr>
            <a:solidFill>
              <a:schemeClr val="accent1"/>
            </a:solidFill>
            <a:ln>
              <a:noFill/>
            </a:ln>
            <a:effectLst/>
          </c:spPr>
          <c:invertIfNegative val="0"/>
          <c:cat>
            <c:strRef>
              <c:f>'Pivot Tables'!$O$66:$O$74</c:f>
              <c:strCache>
                <c:ptCount val="8"/>
                <c:pt idx="0">
                  <c:v>Cloud;AWS</c:v>
                </c:pt>
                <c:pt idx="1">
                  <c:v>Excel;SQL</c:v>
                </c:pt>
                <c:pt idx="2">
                  <c:v>Finance;Excel</c:v>
                </c:pt>
                <c:pt idx="3">
                  <c:v>Java;SQL</c:v>
                </c:pt>
                <c:pt idx="4">
                  <c:v>JavaScript</c:v>
                </c:pt>
                <c:pt idx="5">
                  <c:v>Operations</c:v>
                </c:pt>
                <c:pt idx="6">
                  <c:v>Python;AI</c:v>
                </c:pt>
                <c:pt idx="7">
                  <c:v>Testing;Selenium</c:v>
                </c:pt>
              </c:strCache>
            </c:strRef>
          </c:cat>
          <c:val>
            <c:numRef>
              <c:f>'Pivot Tables'!$P$66:$P$74</c:f>
              <c:numCache>
                <c:formatCode>General</c:formatCode>
                <c:ptCount val="8"/>
                <c:pt idx="0">
                  <c:v>10</c:v>
                </c:pt>
                <c:pt idx="1">
                  <c:v>11</c:v>
                </c:pt>
                <c:pt idx="2">
                  <c:v>11</c:v>
                </c:pt>
                <c:pt idx="3">
                  <c:v>18</c:v>
                </c:pt>
                <c:pt idx="4">
                  <c:v>10</c:v>
                </c:pt>
                <c:pt idx="5">
                  <c:v>13</c:v>
                </c:pt>
                <c:pt idx="6">
                  <c:v>13</c:v>
                </c:pt>
                <c:pt idx="7">
                  <c:v>14</c:v>
                </c:pt>
              </c:numCache>
            </c:numRef>
          </c:val>
          <c:extLst>
            <c:ext xmlns:c16="http://schemas.microsoft.com/office/drawing/2014/chart" uri="{C3380CC4-5D6E-409C-BE32-E72D297353CC}">
              <c16:uniqueId val="{00000003-8E46-4D39-8B48-C6699D712E63}"/>
            </c:ext>
          </c:extLst>
        </c:ser>
        <c:dLbls>
          <c:showLegendKey val="0"/>
          <c:showVal val="0"/>
          <c:showCatName val="0"/>
          <c:showSerName val="0"/>
          <c:showPercent val="0"/>
          <c:showBubbleSize val="0"/>
        </c:dLbls>
        <c:gapWidth val="219"/>
        <c:overlap val="-27"/>
        <c:axId val="1753045423"/>
        <c:axId val="1753041103"/>
      </c:barChart>
      <c:catAx>
        <c:axId val="175304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41103"/>
        <c:crosses val="autoZero"/>
        <c:auto val="1"/>
        <c:lblAlgn val="ctr"/>
        <c:lblOffset val="100"/>
        <c:noMultiLvlLbl val="0"/>
      </c:catAx>
      <c:valAx>
        <c:axId val="1753041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3045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Tables!PivotTable13</c:name>
    <c:fmtId val="0"/>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delete val="1"/>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surface3DChart>
        <c:wireframe val="0"/>
        <c:ser>
          <c:idx val="0"/>
          <c:order val="0"/>
          <c:tx>
            <c:strRef>
              <c:f>'Pivot Tables'!$Z$64</c:f>
              <c:strCache>
                <c:ptCount val="1"/>
                <c:pt idx="0">
                  <c:v>Sum of Experience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Tables'!$Y$65:$Y$69</c:f>
              <c:strCache>
                <c:ptCount val="4"/>
                <c:pt idx="0">
                  <c:v>B.Sc</c:v>
                </c:pt>
                <c:pt idx="1">
                  <c:v>B.Tech</c:v>
                </c:pt>
                <c:pt idx="2">
                  <c:v>BBA</c:v>
                </c:pt>
                <c:pt idx="3">
                  <c:v>MBA</c:v>
                </c:pt>
              </c:strCache>
            </c:strRef>
          </c:cat>
          <c:val>
            <c:numRef>
              <c:f>'Pivot Tables'!$Z$65:$Z$69</c:f>
              <c:numCache>
                <c:formatCode>General</c:formatCode>
                <c:ptCount val="4"/>
                <c:pt idx="0">
                  <c:v>83</c:v>
                </c:pt>
                <c:pt idx="1">
                  <c:v>86</c:v>
                </c:pt>
                <c:pt idx="2">
                  <c:v>76</c:v>
                </c:pt>
                <c:pt idx="3">
                  <c:v>111</c:v>
                </c:pt>
              </c:numCache>
            </c:numRef>
          </c:val>
          <c:extLst>
            <c:ext xmlns:c16="http://schemas.microsoft.com/office/drawing/2014/chart" uri="{C3380CC4-5D6E-409C-BE32-E72D297353CC}">
              <c16:uniqueId val="{00000000-404B-4FB3-BC29-B1F4642E6949}"/>
            </c:ext>
          </c:extLst>
        </c:ser>
        <c:ser>
          <c:idx val="1"/>
          <c:order val="1"/>
          <c:tx>
            <c:strRef>
              <c:f>'Pivot Tables'!$AA$64</c:f>
              <c:strCache>
                <c:ptCount val="1"/>
                <c:pt idx="0">
                  <c:v>Sum of Interview Score</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cat>
            <c:strRef>
              <c:f>'Pivot Tables'!$Y$65:$Y$69</c:f>
              <c:strCache>
                <c:ptCount val="4"/>
                <c:pt idx="0">
                  <c:v>B.Sc</c:v>
                </c:pt>
                <c:pt idx="1">
                  <c:v>B.Tech</c:v>
                </c:pt>
                <c:pt idx="2">
                  <c:v>BBA</c:v>
                </c:pt>
                <c:pt idx="3">
                  <c:v>MBA</c:v>
                </c:pt>
              </c:strCache>
            </c:strRef>
          </c:cat>
          <c:val>
            <c:numRef>
              <c:f>'Pivot Tables'!$AA$65:$AA$69</c:f>
              <c:numCache>
                <c:formatCode>General</c:formatCode>
                <c:ptCount val="4"/>
                <c:pt idx="0">
                  <c:v>1857</c:v>
                </c:pt>
                <c:pt idx="1">
                  <c:v>1665</c:v>
                </c:pt>
                <c:pt idx="2">
                  <c:v>1512</c:v>
                </c:pt>
                <c:pt idx="3">
                  <c:v>2646</c:v>
                </c:pt>
              </c:numCache>
            </c:numRef>
          </c:val>
          <c:extLst>
            <c:ext xmlns:c16="http://schemas.microsoft.com/office/drawing/2014/chart" uri="{C3380CC4-5D6E-409C-BE32-E72D297353CC}">
              <c16:uniqueId val="{00000002-404B-4FB3-BC29-B1F4642E6949}"/>
            </c:ext>
          </c:extLst>
        </c:ser>
        <c:bandFmts>
          <c:band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bandFmt>
          <c:bandFmt>
            <c:idx val="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bandFmt>
          <c:bandFmt>
            <c:idx val="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bandFmt>
          <c:bandFmt>
            <c:idx val="3"/>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bandFmt>
        </c:bandFmts>
        <c:axId val="1538751775"/>
        <c:axId val="1538739775"/>
        <c:axId val="491067359"/>
      </c:surface3DChart>
      <c:catAx>
        <c:axId val="1538751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739775"/>
        <c:crosses val="autoZero"/>
        <c:auto val="1"/>
        <c:lblAlgn val="ctr"/>
        <c:lblOffset val="100"/>
        <c:noMultiLvlLbl val="0"/>
      </c:catAx>
      <c:valAx>
        <c:axId val="15387397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8751775"/>
        <c:crosses val="autoZero"/>
        <c:crossBetween val="midCat"/>
      </c:valAx>
      <c:serAx>
        <c:axId val="491067359"/>
        <c:scaling>
          <c:orientation val="minMax"/>
        </c:scaling>
        <c:delete val="0"/>
        <c:axPos val="b"/>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8739775"/>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Top Hiring Companies by Application Volume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Tables'!$P$84</c:f>
              <c:strCache>
                <c:ptCount val="1"/>
                <c:pt idx="0">
                  <c:v>Total</c:v>
                </c:pt>
              </c:strCache>
            </c:strRef>
          </c:tx>
          <c:spPr>
            <a:solidFill>
              <a:schemeClr val="accent1"/>
            </a:solidFill>
            <a:ln>
              <a:noFill/>
            </a:ln>
            <a:effectLst/>
          </c:spPr>
          <c:cat>
            <c:strRef>
              <c:f>'Pivot Tables'!$O$85:$O$104</c:f>
              <c:strCache>
                <c:ptCount val="19"/>
                <c:pt idx="0">
                  <c:v>Capgemini</c:v>
                </c:pt>
                <c:pt idx="1">
                  <c:v>Zomato</c:v>
                </c:pt>
                <c:pt idx="2">
                  <c:v>Google</c:v>
                </c:pt>
                <c:pt idx="3">
                  <c:v>TCS</c:v>
                </c:pt>
                <c:pt idx="4">
                  <c:v>Deloitte</c:v>
                </c:pt>
                <c:pt idx="5">
                  <c:v>HCL</c:v>
                </c:pt>
                <c:pt idx="6">
                  <c:v>Zoho</c:v>
                </c:pt>
                <c:pt idx="7">
                  <c:v>Swiggy</c:v>
                </c:pt>
                <c:pt idx="8">
                  <c:v>Oracle</c:v>
                </c:pt>
                <c:pt idx="9">
                  <c:v>Paytm</c:v>
                </c:pt>
                <c:pt idx="10">
                  <c:v>Accenture</c:v>
                </c:pt>
                <c:pt idx="11">
                  <c:v>Tech Mahindra</c:v>
                </c:pt>
                <c:pt idx="12">
                  <c:v>Infosys</c:v>
                </c:pt>
                <c:pt idx="13">
                  <c:v>Wipro</c:v>
                </c:pt>
                <c:pt idx="14">
                  <c:v>IBM</c:v>
                </c:pt>
                <c:pt idx="15">
                  <c:v>Flipkart</c:v>
                </c:pt>
                <c:pt idx="16">
                  <c:v>Microsoft</c:v>
                </c:pt>
                <c:pt idx="17">
                  <c:v>Amazon</c:v>
                </c:pt>
                <c:pt idx="18">
                  <c:v>Cognizant</c:v>
                </c:pt>
              </c:strCache>
            </c:strRef>
          </c:cat>
          <c:val>
            <c:numRef>
              <c:f>'Pivot Tables'!$P$85:$P$104</c:f>
              <c:numCache>
                <c:formatCode>General</c:formatCode>
                <c:ptCount val="19"/>
                <c:pt idx="0">
                  <c:v>10</c:v>
                </c:pt>
                <c:pt idx="1">
                  <c:v>9</c:v>
                </c:pt>
                <c:pt idx="2">
                  <c:v>8</c:v>
                </c:pt>
                <c:pt idx="3">
                  <c:v>8</c:v>
                </c:pt>
                <c:pt idx="4">
                  <c:v>8</c:v>
                </c:pt>
                <c:pt idx="5">
                  <c:v>7</c:v>
                </c:pt>
                <c:pt idx="6">
                  <c:v>6</c:v>
                </c:pt>
                <c:pt idx="7">
                  <c:v>5</c:v>
                </c:pt>
                <c:pt idx="8">
                  <c:v>5</c:v>
                </c:pt>
                <c:pt idx="9">
                  <c:v>5</c:v>
                </c:pt>
                <c:pt idx="10">
                  <c:v>5</c:v>
                </c:pt>
                <c:pt idx="11">
                  <c:v>4</c:v>
                </c:pt>
                <c:pt idx="12">
                  <c:v>4</c:v>
                </c:pt>
                <c:pt idx="13">
                  <c:v>3</c:v>
                </c:pt>
                <c:pt idx="14">
                  <c:v>3</c:v>
                </c:pt>
                <c:pt idx="15">
                  <c:v>3</c:v>
                </c:pt>
                <c:pt idx="16">
                  <c:v>3</c:v>
                </c:pt>
                <c:pt idx="17">
                  <c:v>2</c:v>
                </c:pt>
                <c:pt idx="18">
                  <c:v>2</c:v>
                </c:pt>
              </c:numCache>
            </c:numRef>
          </c:val>
          <c:extLst>
            <c:ext xmlns:c16="http://schemas.microsoft.com/office/drawing/2014/chart" uri="{C3380CC4-5D6E-409C-BE32-E72D297353CC}">
              <c16:uniqueId val="{00000000-9559-448F-8108-E3A08C47C87C}"/>
            </c:ext>
          </c:extLst>
        </c:ser>
        <c:dLbls>
          <c:showLegendKey val="0"/>
          <c:showVal val="0"/>
          <c:showCatName val="0"/>
          <c:showSerName val="0"/>
          <c:showPercent val="0"/>
          <c:showBubbleSize val="0"/>
        </c:dLbls>
        <c:axId val="2043474063"/>
        <c:axId val="2043477423"/>
      </c:areaChart>
      <c:catAx>
        <c:axId val="20434740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77423"/>
        <c:crosses val="autoZero"/>
        <c:auto val="1"/>
        <c:lblAlgn val="ctr"/>
        <c:lblOffset val="100"/>
        <c:noMultiLvlLbl val="0"/>
      </c:catAx>
      <c:valAx>
        <c:axId val="2043477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34740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Skills Demand by Company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'Pivot Tables'!$Z$80</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Tables'!$Y$81:$Y$89</c:f>
              <c:strCache>
                <c:ptCount val="8"/>
                <c:pt idx="0">
                  <c:v>Cloud;AWS</c:v>
                </c:pt>
                <c:pt idx="1">
                  <c:v>Excel;SQL</c:v>
                </c:pt>
                <c:pt idx="2">
                  <c:v>Finance;Excel</c:v>
                </c:pt>
                <c:pt idx="3">
                  <c:v>Java;SQL</c:v>
                </c:pt>
                <c:pt idx="4">
                  <c:v>JavaScript</c:v>
                </c:pt>
                <c:pt idx="5">
                  <c:v>Operations</c:v>
                </c:pt>
                <c:pt idx="6">
                  <c:v>Python;AI</c:v>
                </c:pt>
                <c:pt idx="7">
                  <c:v>Testing;Selenium</c:v>
                </c:pt>
              </c:strCache>
            </c:strRef>
          </c:cat>
          <c:val>
            <c:numRef>
              <c:f>'Pivot Tables'!$Z$81:$Z$89</c:f>
              <c:numCache>
                <c:formatCode>General</c:formatCode>
                <c:ptCount val="8"/>
                <c:pt idx="0">
                  <c:v>10</c:v>
                </c:pt>
                <c:pt idx="1">
                  <c:v>11</c:v>
                </c:pt>
                <c:pt idx="2">
                  <c:v>11</c:v>
                </c:pt>
                <c:pt idx="3">
                  <c:v>18</c:v>
                </c:pt>
                <c:pt idx="4">
                  <c:v>10</c:v>
                </c:pt>
                <c:pt idx="5">
                  <c:v>13</c:v>
                </c:pt>
                <c:pt idx="6">
                  <c:v>13</c:v>
                </c:pt>
                <c:pt idx="7">
                  <c:v>14</c:v>
                </c:pt>
              </c:numCache>
            </c:numRef>
          </c:val>
          <c:extLst>
            <c:ext xmlns:c16="http://schemas.microsoft.com/office/drawing/2014/chart" uri="{C3380CC4-5D6E-409C-BE32-E72D297353CC}">
              <c16:uniqueId val="{00000000-F67E-49AE-8878-7747AA4F6D8D}"/>
            </c:ext>
          </c:extLst>
        </c:ser>
        <c:dLbls>
          <c:showLegendKey val="0"/>
          <c:showVal val="0"/>
          <c:showCatName val="0"/>
          <c:showSerName val="0"/>
          <c:showPercent val="0"/>
          <c:showBubbleSize val="0"/>
        </c:dLbls>
        <c:axId val="235796575"/>
        <c:axId val="235797055"/>
      </c:radarChart>
      <c:catAx>
        <c:axId val="235796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97055"/>
        <c:crosses val="autoZero"/>
        <c:auto val="1"/>
        <c:lblAlgn val="ctr"/>
        <c:lblOffset val="100"/>
        <c:noMultiLvlLbl val="0"/>
      </c:catAx>
      <c:valAx>
        <c:axId val="2357970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579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Candidate Experience Breakdown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Tables'!$P$105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FCC-4309-94A1-A58C6A971B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FCC-4309-94A1-A58C6A971B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FCC-4309-94A1-A58C6A971B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FCC-4309-94A1-A58C6A971B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FCC-4309-94A1-A58C6A971B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FCC-4309-94A1-A58C6A971B30}"/>
              </c:ext>
            </c:extLst>
          </c:dPt>
          <c:cat>
            <c:strRef>
              <c:f>'Pivot Tables'!$O$106:$O$112</c:f>
              <c:strCache>
                <c:ptCount val="6"/>
                <c:pt idx="0">
                  <c:v>1</c:v>
                </c:pt>
                <c:pt idx="1">
                  <c:v>2</c:v>
                </c:pt>
                <c:pt idx="2">
                  <c:v>3</c:v>
                </c:pt>
                <c:pt idx="3">
                  <c:v>4</c:v>
                </c:pt>
                <c:pt idx="4">
                  <c:v>5</c:v>
                </c:pt>
                <c:pt idx="5">
                  <c:v>6</c:v>
                </c:pt>
              </c:strCache>
            </c:strRef>
          </c:cat>
          <c:val>
            <c:numRef>
              <c:f>'Pivot Tables'!$P$106:$P$112</c:f>
              <c:numCache>
                <c:formatCode>General</c:formatCode>
                <c:ptCount val="6"/>
                <c:pt idx="0">
                  <c:v>13</c:v>
                </c:pt>
                <c:pt idx="1">
                  <c:v>21</c:v>
                </c:pt>
                <c:pt idx="2">
                  <c:v>15</c:v>
                </c:pt>
                <c:pt idx="3">
                  <c:v>14</c:v>
                </c:pt>
                <c:pt idx="4">
                  <c:v>22</c:v>
                </c:pt>
                <c:pt idx="5">
                  <c:v>15</c:v>
                </c:pt>
              </c:numCache>
            </c:numRef>
          </c:val>
          <c:extLst>
            <c:ext xmlns:c16="http://schemas.microsoft.com/office/drawing/2014/chart" uri="{C3380CC4-5D6E-409C-BE32-E72D297353CC}">
              <c16:uniqueId val="{00000000-31B6-421D-A79C-93C336D39E6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Role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Tables'!$Z$95</c:f>
              <c:strCache>
                <c:ptCount val="1"/>
                <c:pt idx="0">
                  <c:v>Total</c:v>
                </c:pt>
              </c:strCache>
            </c:strRef>
          </c:tx>
          <c:spPr>
            <a:ln w="28575" cap="rnd">
              <a:solidFill>
                <a:schemeClr val="accent1"/>
              </a:solidFill>
              <a:round/>
            </a:ln>
            <a:effectLst/>
          </c:spPr>
          <c:marker>
            <c:symbol val="none"/>
          </c:marker>
          <c:cat>
            <c:strRef>
              <c:f>'Pivot Tables'!$Y$96:$Y$102</c:f>
              <c:strCache>
                <c:ptCount val="6"/>
                <c:pt idx="0">
                  <c:v>1</c:v>
                </c:pt>
                <c:pt idx="1">
                  <c:v>2</c:v>
                </c:pt>
                <c:pt idx="2">
                  <c:v>3</c:v>
                </c:pt>
                <c:pt idx="3">
                  <c:v>4</c:v>
                </c:pt>
                <c:pt idx="4">
                  <c:v>5</c:v>
                </c:pt>
                <c:pt idx="5">
                  <c:v>6</c:v>
                </c:pt>
              </c:strCache>
            </c:strRef>
          </c:cat>
          <c:val>
            <c:numRef>
              <c:f>'Pivot Tables'!$Z$96:$Z$102</c:f>
              <c:numCache>
                <c:formatCode>General</c:formatCode>
                <c:ptCount val="6"/>
                <c:pt idx="0">
                  <c:v>13</c:v>
                </c:pt>
                <c:pt idx="1">
                  <c:v>21</c:v>
                </c:pt>
                <c:pt idx="2">
                  <c:v>15</c:v>
                </c:pt>
                <c:pt idx="3">
                  <c:v>14</c:v>
                </c:pt>
                <c:pt idx="4">
                  <c:v>22</c:v>
                </c:pt>
                <c:pt idx="5">
                  <c:v>15</c:v>
                </c:pt>
              </c:numCache>
            </c:numRef>
          </c:val>
          <c:smooth val="0"/>
          <c:extLst>
            <c:ext xmlns:c16="http://schemas.microsoft.com/office/drawing/2014/chart" uri="{C3380CC4-5D6E-409C-BE32-E72D297353CC}">
              <c16:uniqueId val="{00000002-32D9-4852-9114-4633676F7F30}"/>
            </c:ext>
          </c:extLst>
        </c:ser>
        <c:dLbls>
          <c:showLegendKey val="0"/>
          <c:showVal val="0"/>
          <c:showCatName val="0"/>
          <c:showSerName val="0"/>
          <c:showPercent val="0"/>
          <c:showBubbleSize val="0"/>
        </c:dLbls>
        <c:smooth val="0"/>
        <c:axId val="917424144"/>
        <c:axId val="917424624"/>
      </c:lineChart>
      <c:catAx>
        <c:axId val="91742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24624"/>
        <c:crosses val="autoZero"/>
        <c:auto val="1"/>
        <c:lblAlgn val="ctr"/>
        <c:lblOffset val="100"/>
        <c:noMultiLvlLbl val="0"/>
      </c:catAx>
      <c:valAx>
        <c:axId val="9174246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2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Tables!PivotTable3</c:name>
    <c:fmtId val="9"/>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IN" sz="1440" b="0" i="0" u="none" strike="noStrike" baseline="0"/>
              <a:t>Total Salary by Company</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s>
    <c:plotArea>
      <c:layout/>
      <c:ofPieChart>
        <c:ofPieType val="pie"/>
        <c:varyColors val="1"/>
        <c:ser>
          <c:idx val="0"/>
          <c:order val="0"/>
          <c:tx>
            <c:strRef>
              <c:f>'Pivot Tables'!$B$98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A3F-430E-833A-63ED139E33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A3F-430E-833A-63ED139E33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A3F-430E-833A-63ED139E33D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A3F-430E-833A-63ED139E33D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A3F-430E-833A-63ED139E33D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A3F-430E-833A-63ED139E33D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A3F-430E-833A-63ED139E33D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A3F-430E-833A-63ED139E33D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A3F-430E-833A-63ED139E33D3}"/>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A3F-430E-833A-63ED139E33D3}"/>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A3F-430E-833A-63ED139E33D3}"/>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A3F-430E-833A-63ED139E33D3}"/>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A3F-430E-833A-63ED139E33D3}"/>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A3F-430E-833A-63ED139E33D3}"/>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A3F-430E-833A-63ED139E33D3}"/>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A3F-430E-833A-63ED139E33D3}"/>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A3F-430E-833A-63ED139E33D3}"/>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A3F-430E-833A-63ED139E33D3}"/>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AA3F-430E-833A-63ED139E33D3}"/>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AA3F-430E-833A-63ED139E33D3}"/>
              </c:ext>
            </c:extLst>
          </c:dPt>
          <c:cat>
            <c:strRef>
              <c:f>'Pivot Tables'!$A$99:$A$118</c:f>
              <c:strCache>
                <c:ptCount val="19"/>
                <c:pt idx="0">
                  <c:v>Accenture</c:v>
                </c:pt>
                <c:pt idx="1">
                  <c:v>Amazon</c:v>
                </c:pt>
                <c:pt idx="2">
                  <c:v>Capgemini</c:v>
                </c:pt>
                <c:pt idx="3">
                  <c:v>Cognizant</c:v>
                </c:pt>
                <c:pt idx="4">
                  <c:v>Deloitte</c:v>
                </c:pt>
                <c:pt idx="5">
                  <c:v>Flipkart</c:v>
                </c:pt>
                <c:pt idx="6">
                  <c:v>Google</c:v>
                </c:pt>
                <c:pt idx="7">
                  <c:v>HCL</c:v>
                </c:pt>
                <c:pt idx="8">
                  <c:v>IBM</c:v>
                </c:pt>
                <c:pt idx="9">
                  <c:v>Infosys</c:v>
                </c:pt>
                <c:pt idx="10">
                  <c:v>Microsoft</c:v>
                </c:pt>
                <c:pt idx="11">
                  <c:v>Oracle</c:v>
                </c:pt>
                <c:pt idx="12">
                  <c:v>Paytm</c:v>
                </c:pt>
                <c:pt idx="13">
                  <c:v>Swiggy</c:v>
                </c:pt>
                <c:pt idx="14">
                  <c:v>TCS</c:v>
                </c:pt>
                <c:pt idx="15">
                  <c:v>Tech Mahindra</c:v>
                </c:pt>
                <c:pt idx="16">
                  <c:v>Wipro</c:v>
                </c:pt>
                <c:pt idx="17">
                  <c:v>Zoho</c:v>
                </c:pt>
                <c:pt idx="18">
                  <c:v>Zomato</c:v>
                </c:pt>
              </c:strCache>
            </c:strRef>
          </c:cat>
          <c:val>
            <c:numRef>
              <c:f>'Pivot Tables'!$B$99:$B$118</c:f>
              <c:numCache>
                <c:formatCode>#,##0</c:formatCode>
                <c:ptCount val="19"/>
                <c:pt idx="0">
                  <c:v>6448521</c:v>
                </c:pt>
                <c:pt idx="1">
                  <c:v>4806445</c:v>
                </c:pt>
                <c:pt idx="2">
                  <c:v>17459922</c:v>
                </c:pt>
                <c:pt idx="3">
                  <c:v>3775223</c:v>
                </c:pt>
                <c:pt idx="4">
                  <c:v>12881080</c:v>
                </c:pt>
                <c:pt idx="5">
                  <c:v>4180942</c:v>
                </c:pt>
                <c:pt idx="6">
                  <c:v>11022568</c:v>
                </c:pt>
                <c:pt idx="7">
                  <c:v>13604875</c:v>
                </c:pt>
                <c:pt idx="8">
                  <c:v>4408856</c:v>
                </c:pt>
                <c:pt idx="9">
                  <c:v>7086221</c:v>
                </c:pt>
                <c:pt idx="10">
                  <c:v>5911195</c:v>
                </c:pt>
                <c:pt idx="11">
                  <c:v>8572034</c:v>
                </c:pt>
                <c:pt idx="12">
                  <c:v>10508468</c:v>
                </c:pt>
                <c:pt idx="13">
                  <c:v>7370978</c:v>
                </c:pt>
                <c:pt idx="14">
                  <c:v>15271795</c:v>
                </c:pt>
                <c:pt idx="15">
                  <c:v>5550944</c:v>
                </c:pt>
                <c:pt idx="16">
                  <c:v>5101943</c:v>
                </c:pt>
                <c:pt idx="17">
                  <c:v>10405319</c:v>
                </c:pt>
                <c:pt idx="18">
                  <c:v>15443093</c:v>
                </c:pt>
              </c:numCache>
            </c:numRef>
          </c:val>
          <c:extLst>
            <c:ext xmlns:c16="http://schemas.microsoft.com/office/drawing/2014/chart" uri="{C3380CC4-5D6E-409C-BE32-E72D297353CC}">
              <c16:uniqueId val="{00000002-B039-4ACD-BBC1-C96DFE1A00EA}"/>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[Job Application Tracking &amp; Offer Analytics Dashboard(AutoRecovered).xlsx]Pivot Tables!PivotTable18</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Salary by Experience Level</a:t>
            </a:r>
            <a:endParaRPr lang="en-US"/>
          </a:p>
        </c:rich>
      </c:tx>
      <c:layout>
        <c:manualLayout>
          <c:xMode val="edge"/>
          <c:yMode val="edge"/>
          <c:x val="0.35363888888888889"/>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bar"/>
        <c:grouping val="clustered"/>
        <c:varyColors val="0"/>
        <c:ser>
          <c:idx val="0"/>
          <c:order val="0"/>
          <c:tx>
            <c:strRef>
              <c:f>'Pivot Tables'!$B$121</c:f>
              <c:strCache>
                <c:ptCount val="1"/>
                <c:pt idx="0">
                  <c:v>Total</c:v>
                </c:pt>
              </c:strCache>
            </c:strRef>
          </c:tx>
          <c:spPr>
            <a:solidFill>
              <a:schemeClr val="accent1"/>
            </a:solidFill>
            <a:ln>
              <a:noFill/>
            </a:ln>
            <a:effectLst/>
            <a:sp3d/>
          </c:spPr>
          <c:invertIfNegative val="0"/>
          <c:cat>
            <c:strRef>
              <c:f>'Pivot Tables'!$A$122:$A$128</c:f>
              <c:strCache>
                <c:ptCount val="6"/>
                <c:pt idx="0">
                  <c:v>1</c:v>
                </c:pt>
                <c:pt idx="1">
                  <c:v>2</c:v>
                </c:pt>
                <c:pt idx="2">
                  <c:v>3</c:v>
                </c:pt>
                <c:pt idx="3">
                  <c:v>4</c:v>
                </c:pt>
                <c:pt idx="4">
                  <c:v>5</c:v>
                </c:pt>
                <c:pt idx="5">
                  <c:v>6</c:v>
                </c:pt>
              </c:strCache>
            </c:strRef>
          </c:cat>
          <c:val>
            <c:numRef>
              <c:f>'Pivot Tables'!$B$122:$B$128</c:f>
              <c:numCache>
                <c:formatCode>#,##0</c:formatCode>
                <c:ptCount val="6"/>
                <c:pt idx="0">
                  <c:v>21599189</c:v>
                </c:pt>
                <c:pt idx="1">
                  <c:v>31003918</c:v>
                </c:pt>
                <c:pt idx="2">
                  <c:v>28279080</c:v>
                </c:pt>
                <c:pt idx="3">
                  <c:v>21946038</c:v>
                </c:pt>
                <c:pt idx="4">
                  <c:v>37045267</c:v>
                </c:pt>
                <c:pt idx="5">
                  <c:v>29936930</c:v>
                </c:pt>
              </c:numCache>
            </c:numRef>
          </c:val>
          <c:extLst>
            <c:ext xmlns:c16="http://schemas.microsoft.com/office/drawing/2014/chart" uri="{C3380CC4-5D6E-409C-BE32-E72D297353CC}">
              <c16:uniqueId val="{00000000-6730-4823-949A-62C9A0220FC7}"/>
            </c:ext>
          </c:extLst>
        </c:ser>
        <c:dLbls>
          <c:showLegendKey val="0"/>
          <c:showVal val="0"/>
          <c:showCatName val="0"/>
          <c:showSerName val="0"/>
          <c:showPercent val="0"/>
          <c:showBubbleSize val="0"/>
        </c:dLbls>
        <c:gapWidth val="150"/>
        <c:shape val="box"/>
        <c:axId val="1859027568"/>
        <c:axId val="1859029488"/>
        <c:axId val="0"/>
      </c:bar3DChart>
      <c:catAx>
        <c:axId val="1859027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029488"/>
        <c:crosses val="autoZero"/>
        <c:auto val="1"/>
        <c:lblAlgn val="ctr"/>
        <c:lblOffset val="100"/>
        <c:noMultiLvlLbl val="0"/>
      </c:catAx>
      <c:valAx>
        <c:axId val="1859029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902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0">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18" Type="http://schemas.openxmlformats.org/officeDocument/2006/relationships/image" Target="../media/image13.svg"/><Relationship Id="rId26" Type="http://schemas.openxmlformats.org/officeDocument/2006/relationships/image" Target="../media/image17.png"/><Relationship Id="rId3" Type="http://schemas.openxmlformats.org/officeDocument/2006/relationships/chart" Target="../charts/chart1.xml"/><Relationship Id="rId21" Type="http://schemas.openxmlformats.org/officeDocument/2006/relationships/hyperlink" Target="#Recruitment!A1"/><Relationship Id="rId7" Type="http://schemas.openxmlformats.org/officeDocument/2006/relationships/image" Target="../media/image2.png"/><Relationship Id="rId12" Type="http://schemas.openxmlformats.org/officeDocument/2006/relationships/image" Target="../media/image7.svg"/><Relationship Id="rId17" Type="http://schemas.openxmlformats.org/officeDocument/2006/relationships/image" Target="../media/image12.png"/><Relationship Id="rId25" Type="http://schemas.openxmlformats.org/officeDocument/2006/relationships/image" Target="../media/image16.svg"/><Relationship Id="rId2" Type="http://schemas.openxmlformats.org/officeDocument/2006/relationships/image" Target="../media/image1.png"/><Relationship Id="rId16" Type="http://schemas.openxmlformats.org/officeDocument/2006/relationships/image" Target="../media/image11.svg"/><Relationship Id="rId20" Type="http://schemas.openxmlformats.org/officeDocument/2006/relationships/hyperlink" Target="#Dashboard!A1"/><Relationship Id="rId1" Type="http://schemas.microsoft.com/office/2017/06/relationships/model3d" Target="../media/model3d1.glb"/><Relationship Id="rId6" Type="http://schemas.openxmlformats.org/officeDocument/2006/relationships/chart" Target="../charts/chart4.xml"/><Relationship Id="rId11" Type="http://schemas.openxmlformats.org/officeDocument/2006/relationships/image" Target="../media/image6.png"/><Relationship Id="rId24" Type="http://schemas.openxmlformats.org/officeDocument/2006/relationships/image" Target="../media/image15.png"/><Relationship Id="rId5" Type="http://schemas.openxmlformats.org/officeDocument/2006/relationships/chart" Target="../charts/chart3.xml"/><Relationship Id="rId15" Type="http://schemas.openxmlformats.org/officeDocument/2006/relationships/image" Target="../media/image10.png"/><Relationship Id="rId23" Type="http://schemas.openxmlformats.org/officeDocument/2006/relationships/hyperlink" Target="#Salary!A1"/><Relationship Id="rId10" Type="http://schemas.openxmlformats.org/officeDocument/2006/relationships/image" Target="../media/image5.svg"/><Relationship Id="rId19" Type="http://schemas.openxmlformats.org/officeDocument/2006/relationships/image" Target="../media/image14.png"/><Relationship Id="rId4" Type="http://schemas.openxmlformats.org/officeDocument/2006/relationships/chart" Target="../charts/chart2.xml"/><Relationship Id="rId9" Type="http://schemas.openxmlformats.org/officeDocument/2006/relationships/image" Target="../media/image4.png"/><Relationship Id="rId14" Type="http://schemas.openxmlformats.org/officeDocument/2006/relationships/image" Target="../media/image9.svg"/><Relationship Id="rId22" Type="http://schemas.openxmlformats.org/officeDocument/2006/relationships/hyperlink" Target="#Experience!A1"/></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1.svg"/><Relationship Id="rId18" Type="http://schemas.openxmlformats.org/officeDocument/2006/relationships/hyperlink" Target="#Recruitment!A1"/><Relationship Id="rId3" Type="http://schemas.openxmlformats.org/officeDocument/2006/relationships/chart" Target="../charts/chart5.xml"/><Relationship Id="rId21" Type="http://schemas.openxmlformats.org/officeDocument/2006/relationships/chart" Target="../charts/chart6.xml"/><Relationship Id="rId7" Type="http://schemas.openxmlformats.org/officeDocument/2006/relationships/image" Target="../media/image21.svg"/><Relationship Id="rId12" Type="http://schemas.openxmlformats.org/officeDocument/2006/relationships/image" Target="../media/image10.png"/><Relationship Id="rId17" Type="http://schemas.openxmlformats.org/officeDocument/2006/relationships/hyperlink" Target="#Dashboard!A1"/><Relationship Id="rId25" Type="http://schemas.openxmlformats.org/officeDocument/2006/relationships/image" Target="../media/image17.png"/><Relationship Id="rId2" Type="http://schemas.openxmlformats.org/officeDocument/2006/relationships/image" Target="../media/image18.png"/><Relationship Id="rId16" Type="http://schemas.openxmlformats.org/officeDocument/2006/relationships/image" Target="../media/image14.png"/><Relationship Id="rId20" Type="http://schemas.openxmlformats.org/officeDocument/2006/relationships/hyperlink" Target="#Salary!A1"/><Relationship Id="rId1" Type="http://schemas.microsoft.com/office/2017/06/relationships/model3d" Target="../media/model3d1.glb"/><Relationship Id="rId6" Type="http://schemas.openxmlformats.org/officeDocument/2006/relationships/image" Target="../media/image20.png"/><Relationship Id="rId11" Type="http://schemas.openxmlformats.org/officeDocument/2006/relationships/image" Target="../media/image22.svg"/><Relationship Id="rId24" Type="http://schemas.openxmlformats.org/officeDocument/2006/relationships/image" Target="../media/image16.svg"/><Relationship Id="rId5" Type="http://schemas.openxmlformats.org/officeDocument/2006/relationships/image" Target="../media/image19.svg"/><Relationship Id="rId15" Type="http://schemas.openxmlformats.org/officeDocument/2006/relationships/image" Target="../media/image13.svg"/><Relationship Id="rId23" Type="http://schemas.openxmlformats.org/officeDocument/2006/relationships/image" Target="../media/image15.png"/><Relationship Id="rId10" Type="http://schemas.openxmlformats.org/officeDocument/2006/relationships/image" Target="../media/image8.png"/><Relationship Id="rId19" Type="http://schemas.openxmlformats.org/officeDocument/2006/relationships/hyperlink" Target="#Experience!A1"/><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12.png"/><Relationship Id="rId22"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hyperlink" Target="#Experience!A1"/><Relationship Id="rId3" Type="http://schemas.openxmlformats.org/officeDocument/2006/relationships/image" Target="../media/image2.png"/><Relationship Id="rId21" Type="http://schemas.openxmlformats.org/officeDocument/2006/relationships/chart" Target="../charts/chart9.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hyperlink" Target="#Recruitment!A1"/><Relationship Id="rId25" Type="http://schemas.openxmlformats.org/officeDocument/2006/relationships/image" Target="../media/image17.png"/><Relationship Id="rId2" Type="http://schemas.openxmlformats.org/officeDocument/2006/relationships/image" Target="../media/image23.png"/><Relationship Id="rId16" Type="http://schemas.openxmlformats.org/officeDocument/2006/relationships/hyperlink" Target="#Dashboard!A1"/><Relationship Id="rId20" Type="http://schemas.openxmlformats.org/officeDocument/2006/relationships/chart" Target="../charts/chart8.xml"/><Relationship Id="rId1" Type="http://schemas.microsoft.com/office/2017/06/relationships/model3d" Target="../media/model3d1.glb"/><Relationship Id="rId6" Type="http://schemas.openxmlformats.org/officeDocument/2006/relationships/image" Target="../media/image25.svg"/><Relationship Id="rId11" Type="http://schemas.openxmlformats.org/officeDocument/2006/relationships/image" Target="../media/image10.png"/><Relationship Id="rId24" Type="http://schemas.openxmlformats.org/officeDocument/2006/relationships/image" Target="../media/image16.svg"/><Relationship Id="rId5" Type="http://schemas.openxmlformats.org/officeDocument/2006/relationships/image" Target="../media/image24.png"/><Relationship Id="rId15" Type="http://schemas.openxmlformats.org/officeDocument/2006/relationships/image" Target="../media/image14.png"/><Relationship Id="rId23" Type="http://schemas.openxmlformats.org/officeDocument/2006/relationships/image" Target="../media/image15.png"/><Relationship Id="rId10" Type="http://schemas.openxmlformats.org/officeDocument/2006/relationships/image" Target="../media/image22.svg"/><Relationship Id="rId19" Type="http://schemas.openxmlformats.org/officeDocument/2006/relationships/hyperlink" Target="#Salary!A1"/><Relationship Id="rId4" Type="http://schemas.openxmlformats.org/officeDocument/2006/relationships/image" Target="../media/image19.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hyperlink" Target="#Experience!A1"/><Relationship Id="rId3" Type="http://schemas.openxmlformats.org/officeDocument/2006/relationships/image" Target="../media/image2.png"/><Relationship Id="rId21" Type="http://schemas.openxmlformats.org/officeDocument/2006/relationships/chart" Target="../charts/chart12.xml"/><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hyperlink" Target="#Recruitment!A1"/><Relationship Id="rId25" Type="http://schemas.openxmlformats.org/officeDocument/2006/relationships/image" Target="../media/image17.png"/><Relationship Id="rId2" Type="http://schemas.openxmlformats.org/officeDocument/2006/relationships/image" Target="../media/image26.png"/><Relationship Id="rId16" Type="http://schemas.openxmlformats.org/officeDocument/2006/relationships/hyperlink" Target="#Dashboard!A1"/><Relationship Id="rId20" Type="http://schemas.openxmlformats.org/officeDocument/2006/relationships/chart" Target="../charts/chart11.xml"/><Relationship Id="rId1" Type="http://schemas.microsoft.com/office/2017/06/relationships/model3d" Target="../media/model3d1.glb"/><Relationship Id="rId6" Type="http://schemas.openxmlformats.org/officeDocument/2006/relationships/image" Target="../media/image21.svg"/><Relationship Id="rId11" Type="http://schemas.openxmlformats.org/officeDocument/2006/relationships/image" Target="../media/image10.png"/><Relationship Id="rId24" Type="http://schemas.openxmlformats.org/officeDocument/2006/relationships/image" Target="../media/image16.svg"/><Relationship Id="rId5" Type="http://schemas.openxmlformats.org/officeDocument/2006/relationships/image" Target="../media/image20.png"/><Relationship Id="rId15" Type="http://schemas.openxmlformats.org/officeDocument/2006/relationships/image" Target="../media/image14.png"/><Relationship Id="rId23" Type="http://schemas.openxmlformats.org/officeDocument/2006/relationships/image" Target="../media/image15.png"/><Relationship Id="rId10" Type="http://schemas.openxmlformats.org/officeDocument/2006/relationships/image" Target="../media/image22.svg"/><Relationship Id="rId19" Type="http://schemas.openxmlformats.org/officeDocument/2006/relationships/hyperlink" Target="#Salary!A1"/><Relationship Id="rId4" Type="http://schemas.openxmlformats.org/officeDocument/2006/relationships/image" Target="../media/image19.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18" Type="http://schemas.openxmlformats.org/officeDocument/2006/relationships/chart" Target="../charts/chart31.xml"/><Relationship Id="rId3" Type="http://schemas.openxmlformats.org/officeDocument/2006/relationships/chart" Target="../charts/chart16.xml"/><Relationship Id="rId7" Type="http://schemas.openxmlformats.org/officeDocument/2006/relationships/chart" Target="../charts/chart20.xml"/><Relationship Id="rId12" Type="http://schemas.openxmlformats.org/officeDocument/2006/relationships/chart" Target="../charts/chart25.xml"/><Relationship Id="rId17" Type="http://schemas.openxmlformats.org/officeDocument/2006/relationships/chart" Target="../charts/chart30.xml"/><Relationship Id="rId2" Type="http://schemas.openxmlformats.org/officeDocument/2006/relationships/chart" Target="../charts/chart15.xml"/><Relationship Id="rId16" Type="http://schemas.openxmlformats.org/officeDocument/2006/relationships/chart" Target="../charts/chart29.xml"/><Relationship Id="rId1" Type="http://schemas.openxmlformats.org/officeDocument/2006/relationships/chart" Target="../charts/chart14.xml"/><Relationship Id="rId6" Type="http://schemas.openxmlformats.org/officeDocument/2006/relationships/chart" Target="../charts/chart19.xml"/><Relationship Id="rId11" Type="http://schemas.openxmlformats.org/officeDocument/2006/relationships/chart" Target="../charts/chart24.xml"/><Relationship Id="rId5" Type="http://schemas.openxmlformats.org/officeDocument/2006/relationships/chart" Target="../charts/chart18.xml"/><Relationship Id="rId15" Type="http://schemas.openxmlformats.org/officeDocument/2006/relationships/chart" Target="../charts/chart2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chart" Target="../charts/chart27.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0</xdr:colOff>
      <xdr:row>50</xdr:row>
      <xdr:rowOff>186938</xdr:rowOff>
    </xdr:to>
    <xdr:sp macro="" textlink="">
      <xdr:nvSpPr>
        <xdr:cNvPr id="2" name="Rectangle 1">
          <a:extLst>
            <a:ext uri="{FF2B5EF4-FFF2-40B4-BE49-F238E27FC236}">
              <a16:creationId xmlns:a16="http://schemas.microsoft.com/office/drawing/2014/main" id="{7FFE65B8-9DB6-FA6A-9C0A-8AE6C0746CEC}"/>
            </a:ext>
          </a:extLst>
        </xdr:cNvPr>
        <xdr:cNvSpPr/>
      </xdr:nvSpPr>
      <xdr:spPr>
        <a:xfrm>
          <a:off x="0" y="0"/>
          <a:ext cx="1834444" cy="9594345"/>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0</xdr:rowOff>
    </xdr:from>
    <xdr:to>
      <xdr:col>21</xdr:col>
      <xdr:colOff>0</xdr:colOff>
      <xdr:row>50</xdr:row>
      <xdr:rowOff>186938</xdr:rowOff>
    </xdr:to>
    <xdr:sp macro="" textlink="">
      <xdr:nvSpPr>
        <xdr:cNvPr id="5" name="Rectangle 4">
          <a:extLst>
            <a:ext uri="{FF2B5EF4-FFF2-40B4-BE49-F238E27FC236}">
              <a16:creationId xmlns:a16="http://schemas.microsoft.com/office/drawing/2014/main" id="{42C8106A-2EFE-D21A-02B6-323839F63464}"/>
            </a:ext>
          </a:extLst>
        </xdr:cNvPr>
        <xdr:cNvSpPr/>
      </xdr:nvSpPr>
      <xdr:spPr>
        <a:xfrm>
          <a:off x="1834444" y="0"/>
          <a:ext cx="10395186" cy="9594345"/>
        </a:xfrm>
        <a:prstGeom prst="rect">
          <a:avLst/>
        </a:prstGeom>
        <a:solidFill>
          <a:srgbClr val="A6A6A6">
            <a:alpha val="8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191925</xdr:colOff>
      <xdr:row>22</xdr:row>
      <xdr:rowOff>0</xdr:rowOff>
    </xdr:from>
    <xdr:to>
      <xdr:col>20</xdr:col>
      <xdr:colOff>382780</xdr:colOff>
      <xdr:row>24</xdr:row>
      <xdr:rowOff>33115</xdr:rowOff>
    </xdr:to>
    <xdr:sp macro="" textlink="">
      <xdr:nvSpPr>
        <xdr:cNvPr id="15" name="Rectangle: Rounded Corners 14">
          <a:extLst>
            <a:ext uri="{FF2B5EF4-FFF2-40B4-BE49-F238E27FC236}">
              <a16:creationId xmlns:a16="http://schemas.microsoft.com/office/drawing/2014/main" id="{5F706B31-E9AB-C7B9-AB04-D55C032526A3}"/>
            </a:ext>
          </a:extLst>
        </xdr:cNvPr>
        <xdr:cNvSpPr/>
      </xdr:nvSpPr>
      <xdr:spPr>
        <a:xfrm>
          <a:off x="2007906" y="3738785"/>
          <a:ext cx="9876089" cy="406994"/>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000" b="1">
              <a:solidFill>
                <a:schemeClr val="tx1">
                  <a:lumMod val="95000"/>
                  <a:lumOff val="5000"/>
                </a:schemeClr>
              </a:solidFill>
            </a:rPr>
            <a:t>Job Analytics</a:t>
          </a:r>
        </a:p>
      </xdr:txBody>
    </xdr:sp>
    <xdr:clientData/>
  </xdr:twoCellAnchor>
  <xdr:twoCellAnchor>
    <xdr:from>
      <xdr:col>10</xdr:col>
      <xdr:colOff>44509</xdr:colOff>
      <xdr:row>22</xdr:row>
      <xdr:rowOff>0</xdr:rowOff>
    </xdr:from>
    <xdr:to>
      <xdr:col>11</xdr:col>
      <xdr:colOff>44509</xdr:colOff>
      <xdr:row>24</xdr:row>
      <xdr:rowOff>33114</xdr:rowOff>
    </xdr:to>
    <mc:AlternateContent xmlns:mc="http://schemas.openxmlformats.org/markup-compatibility/2006">
      <mc:Choice xmlns:am3d="http://schemas.microsoft.com/office/drawing/2017/model3d" Requires="am3d">
        <xdr:graphicFrame macro="">
          <xdr:nvGraphicFramePr>
            <xdr:cNvPr id="19" name="3D Model 18" descr="Upward Trend">
              <a:extLst>
                <a:ext uri="{FF2B5EF4-FFF2-40B4-BE49-F238E27FC236}">
                  <a16:creationId xmlns:a16="http://schemas.microsoft.com/office/drawing/2014/main" id="{9CDA0C2D-D841-BEBD-33A1-AD566D5C3FFB}"/>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609600" cy="414114"/>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m3d:postTrans dx="0" dy="0" dz="0"/>
                </am3d:trans>
                <am3d:raster rName="Office3DRenderer" rVer="16.0.8326">
                  <am3d:blip r:embed="rId2"/>
                </am3d:raster>
                <am3d:objViewport viewportSz="63405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19" name="3D Model 18" descr="Upward Trend">
              <a:extLst>
                <a:ext uri="{FF2B5EF4-FFF2-40B4-BE49-F238E27FC236}">
                  <a16:creationId xmlns:a16="http://schemas.microsoft.com/office/drawing/2014/main" id="{9CDA0C2D-D841-BEBD-33A1-AD566D5C3FFB}"/>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6094171" y="4247635"/>
              <a:ext cx="604966" cy="419263"/>
            </a:xfrm>
            <a:prstGeom prst="rect">
              <a:avLst/>
            </a:prstGeom>
          </xdr:spPr>
        </xdr:pic>
      </mc:Fallback>
    </mc:AlternateContent>
    <xdr:clientData/>
  </xdr:twoCellAnchor>
  <xdr:twoCellAnchor>
    <xdr:from>
      <xdr:col>4</xdr:col>
      <xdr:colOff>498504</xdr:colOff>
      <xdr:row>25</xdr:row>
      <xdr:rowOff>53412</xdr:rowOff>
    </xdr:from>
    <xdr:to>
      <xdr:col>12</xdr:col>
      <xdr:colOff>306579</xdr:colOff>
      <xdr:row>35</xdr:row>
      <xdr:rowOff>53412</xdr:rowOff>
    </xdr:to>
    <xdr:graphicFrame macro="">
      <xdr:nvGraphicFramePr>
        <xdr:cNvPr id="21" name="Company vs Status">
          <a:extLst>
            <a:ext uri="{FF2B5EF4-FFF2-40B4-BE49-F238E27FC236}">
              <a16:creationId xmlns:a16="http://schemas.microsoft.com/office/drawing/2014/main" id="{4043AC49-BBAF-4D91-B673-927796FFF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134281</xdr:colOff>
      <xdr:row>25</xdr:row>
      <xdr:rowOff>25662</xdr:rowOff>
    </xdr:from>
    <xdr:ext cx="1592359" cy="311496"/>
    <xdr:sp macro="" textlink="">
      <xdr:nvSpPr>
        <xdr:cNvPr id="22" name="TextBox 21">
          <a:extLst>
            <a:ext uri="{FF2B5EF4-FFF2-40B4-BE49-F238E27FC236}">
              <a16:creationId xmlns:a16="http://schemas.microsoft.com/office/drawing/2014/main" id="{D3A5155B-5A83-49E8-6CD3-B920EC02C6E1}"/>
            </a:ext>
          </a:extLst>
        </xdr:cNvPr>
        <xdr:cNvSpPr txBox="1"/>
      </xdr:nvSpPr>
      <xdr:spPr>
        <a:xfrm>
          <a:off x="3808210" y="4844858"/>
          <a:ext cx="159235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solidFill>
                <a:schemeClr val="tx1"/>
              </a:solidFill>
            </a:rPr>
            <a:t>Company</a:t>
          </a:r>
          <a:r>
            <a:rPr lang="en-IN" sz="1400" b="1" baseline="0">
              <a:solidFill>
                <a:schemeClr val="tx1"/>
              </a:solidFill>
            </a:rPr>
            <a:t> vs Status</a:t>
          </a:r>
          <a:endParaRPr lang="en-IN" sz="1400" b="1">
            <a:solidFill>
              <a:schemeClr val="tx1"/>
            </a:solidFill>
          </a:endParaRPr>
        </a:p>
      </xdr:txBody>
    </xdr:sp>
    <xdr:clientData/>
  </xdr:oneCellAnchor>
  <xdr:twoCellAnchor>
    <xdr:from>
      <xdr:col>13</xdr:col>
      <xdr:colOff>17805</xdr:colOff>
      <xdr:row>25</xdr:row>
      <xdr:rowOff>26706</xdr:rowOff>
    </xdr:from>
    <xdr:to>
      <xdr:col>20</xdr:col>
      <xdr:colOff>165576</xdr:colOff>
      <xdr:row>35</xdr:row>
      <xdr:rowOff>53412</xdr:rowOff>
    </xdr:to>
    <xdr:graphicFrame macro="">
      <xdr:nvGraphicFramePr>
        <xdr:cNvPr id="23" name="Chart 22">
          <a:extLst>
            <a:ext uri="{FF2B5EF4-FFF2-40B4-BE49-F238E27FC236}">
              <a16:creationId xmlns:a16="http://schemas.microsoft.com/office/drawing/2014/main" id="{5D8E3F7B-B5EA-4B2E-ACD0-861290964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498504</xdr:colOff>
      <xdr:row>36</xdr:row>
      <xdr:rowOff>97921</xdr:rowOff>
    </xdr:from>
    <xdr:to>
      <xdr:col>12</xdr:col>
      <xdr:colOff>306579</xdr:colOff>
      <xdr:row>49</xdr:row>
      <xdr:rowOff>0</xdr:rowOff>
    </xdr:to>
    <xdr:graphicFrame macro="">
      <xdr:nvGraphicFramePr>
        <xdr:cNvPr id="24" name="Chart 23">
          <a:extLst>
            <a:ext uri="{FF2B5EF4-FFF2-40B4-BE49-F238E27FC236}">
              <a16:creationId xmlns:a16="http://schemas.microsoft.com/office/drawing/2014/main" id="{C1F24DA2-7F76-4DAA-B970-B926B042F8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17805</xdr:colOff>
      <xdr:row>36</xdr:row>
      <xdr:rowOff>86591</xdr:rowOff>
    </xdr:from>
    <xdr:to>
      <xdr:col>20</xdr:col>
      <xdr:colOff>183381</xdr:colOff>
      <xdr:row>48</xdr:row>
      <xdr:rowOff>168963</xdr:rowOff>
    </xdr:to>
    <xdr:graphicFrame macro="">
      <xdr:nvGraphicFramePr>
        <xdr:cNvPr id="25" name="Chart 24">
          <a:extLst>
            <a:ext uri="{FF2B5EF4-FFF2-40B4-BE49-F238E27FC236}">
              <a16:creationId xmlns:a16="http://schemas.microsoft.com/office/drawing/2014/main" id="{EF0DC2BA-CB0F-4BC8-97EF-C4CB6E9504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116287</xdr:colOff>
      <xdr:row>15</xdr:row>
      <xdr:rowOff>48512</xdr:rowOff>
    </xdr:from>
    <xdr:to>
      <xdr:col>8</xdr:col>
      <xdr:colOff>0</xdr:colOff>
      <xdr:row>18</xdr:row>
      <xdr:rowOff>2715</xdr:rowOff>
    </xdr:to>
    <xdr:sp macro="" textlink="">
      <xdr:nvSpPr>
        <xdr:cNvPr id="26" name="Rectangle: Top Corners One Rounded and One Snipped 25">
          <a:extLst>
            <a:ext uri="{FF2B5EF4-FFF2-40B4-BE49-F238E27FC236}">
              <a16:creationId xmlns:a16="http://schemas.microsoft.com/office/drawing/2014/main" id="{CAB3B0E6-DD01-E286-EE78-0E70FD01BDE3}"/>
            </a:ext>
          </a:extLst>
        </xdr:cNvPr>
        <xdr:cNvSpPr/>
      </xdr:nvSpPr>
      <xdr:spPr>
        <a:xfrm>
          <a:off x="2562708" y="2525012"/>
          <a:ext cx="1718529" cy="525703"/>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142279</xdr:colOff>
      <xdr:row>15</xdr:row>
      <xdr:rowOff>47722</xdr:rowOff>
    </xdr:from>
    <xdr:to>
      <xdr:col>12</xdr:col>
      <xdr:colOff>60158</xdr:colOff>
      <xdr:row>18</xdr:row>
      <xdr:rowOff>1</xdr:rowOff>
    </xdr:to>
    <xdr:sp macro="" textlink="">
      <xdr:nvSpPr>
        <xdr:cNvPr id="27" name="Rectangle: Top Corners One Rounded and One Snipped 26">
          <a:extLst>
            <a:ext uri="{FF2B5EF4-FFF2-40B4-BE49-F238E27FC236}">
              <a16:creationId xmlns:a16="http://schemas.microsoft.com/office/drawing/2014/main" id="{E7BBF528-76C4-1634-A02F-E875BD220E06}"/>
            </a:ext>
          </a:extLst>
        </xdr:cNvPr>
        <xdr:cNvSpPr/>
      </xdr:nvSpPr>
      <xdr:spPr>
        <a:xfrm>
          <a:off x="5035121" y="2524222"/>
          <a:ext cx="1752695"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268398</xdr:colOff>
      <xdr:row>15</xdr:row>
      <xdr:rowOff>47721</xdr:rowOff>
    </xdr:from>
    <xdr:to>
      <xdr:col>16</xdr:col>
      <xdr:colOff>230605</xdr:colOff>
      <xdr:row>18</xdr:row>
      <xdr:rowOff>0</xdr:rowOff>
    </xdr:to>
    <xdr:sp macro="" textlink="">
      <xdr:nvSpPr>
        <xdr:cNvPr id="28" name="Rectangle: Top Corners One Rounded and One Snipped 27">
          <a:extLst>
            <a:ext uri="{FF2B5EF4-FFF2-40B4-BE49-F238E27FC236}">
              <a16:creationId xmlns:a16="http://schemas.microsoft.com/office/drawing/2014/main" id="{0E4C795E-7066-D515-C2B2-5D953FA12F7E}"/>
            </a:ext>
          </a:extLst>
        </xdr:cNvPr>
        <xdr:cNvSpPr/>
      </xdr:nvSpPr>
      <xdr:spPr>
        <a:xfrm>
          <a:off x="7607661" y="2524221"/>
          <a:ext cx="1797023"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400">
            <a:effectLst/>
          </a:endParaRPr>
        </a:p>
        <a:p>
          <a:pPr algn="l"/>
          <a:endParaRPr lang="en-IN" sz="1400" b="1">
            <a:solidFill>
              <a:schemeClr val="tx1"/>
            </a:solidFill>
          </a:endParaRPr>
        </a:p>
      </xdr:txBody>
    </xdr:sp>
    <xdr:clientData/>
  </xdr:twoCellAnchor>
  <xdr:twoCellAnchor>
    <xdr:from>
      <xdr:col>17</xdr:col>
      <xdr:colOff>413974</xdr:colOff>
      <xdr:row>15</xdr:row>
      <xdr:rowOff>47721</xdr:rowOff>
    </xdr:from>
    <xdr:to>
      <xdr:col>20</xdr:col>
      <xdr:colOff>270711</xdr:colOff>
      <xdr:row>18</xdr:row>
      <xdr:rowOff>0</xdr:rowOff>
    </xdr:to>
    <xdr:sp macro="" textlink="">
      <xdr:nvSpPr>
        <xdr:cNvPr id="29" name="Rectangle: Top Corners One Rounded and One Snipped 28">
          <a:extLst>
            <a:ext uri="{FF2B5EF4-FFF2-40B4-BE49-F238E27FC236}">
              <a16:creationId xmlns:a16="http://schemas.microsoft.com/office/drawing/2014/main" id="{7FB9C111-3D6A-5701-96E4-51B17F4CF22A}"/>
            </a:ext>
          </a:extLst>
        </xdr:cNvPr>
        <xdr:cNvSpPr/>
      </xdr:nvSpPr>
      <xdr:spPr>
        <a:xfrm>
          <a:off x="10199658" y="2524221"/>
          <a:ext cx="1691553"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400" b="1">
            <a:solidFill>
              <a:schemeClr val="tx1"/>
            </a:solidFill>
          </a:endParaRPr>
        </a:p>
      </xdr:txBody>
    </xdr:sp>
    <xdr:clientData/>
  </xdr:twoCellAnchor>
  <xdr:twoCellAnchor>
    <xdr:from>
      <xdr:col>5</xdr:col>
      <xdr:colOff>106260</xdr:colOff>
      <xdr:row>18</xdr:row>
      <xdr:rowOff>154750</xdr:rowOff>
    </xdr:from>
    <xdr:to>
      <xdr:col>7</xdr:col>
      <xdr:colOff>611604</xdr:colOff>
      <xdr:row>21</xdr:row>
      <xdr:rowOff>107029</xdr:rowOff>
    </xdr:to>
    <xdr:sp macro="" textlink="">
      <xdr:nvSpPr>
        <xdr:cNvPr id="30" name="Rectangle: Top Corners One Rounded and One Snipped 29">
          <a:extLst>
            <a:ext uri="{FF2B5EF4-FFF2-40B4-BE49-F238E27FC236}">
              <a16:creationId xmlns:a16="http://schemas.microsoft.com/office/drawing/2014/main" id="{D00D6B1A-22AE-9E4A-51F7-642E662DB0C2}"/>
            </a:ext>
          </a:extLst>
        </xdr:cNvPr>
        <xdr:cNvSpPr/>
      </xdr:nvSpPr>
      <xdr:spPr>
        <a:xfrm>
          <a:off x="2552681" y="3202750"/>
          <a:ext cx="1728555"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17</xdr:col>
      <xdr:colOff>413975</xdr:colOff>
      <xdr:row>18</xdr:row>
      <xdr:rowOff>114643</xdr:rowOff>
    </xdr:from>
    <xdr:to>
      <xdr:col>20</xdr:col>
      <xdr:colOff>270711</xdr:colOff>
      <xdr:row>21</xdr:row>
      <xdr:rowOff>66922</xdr:rowOff>
    </xdr:to>
    <xdr:sp macro="" textlink="">
      <xdr:nvSpPr>
        <xdr:cNvPr id="31" name="Rectangle: Top Corners One Rounded and One Snipped 30">
          <a:extLst>
            <a:ext uri="{FF2B5EF4-FFF2-40B4-BE49-F238E27FC236}">
              <a16:creationId xmlns:a16="http://schemas.microsoft.com/office/drawing/2014/main" id="{93335BC4-73ED-34BD-8000-038DEC5ACF2E}"/>
            </a:ext>
          </a:extLst>
        </xdr:cNvPr>
        <xdr:cNvSpPr/>
      </xdr:nvSpPr>
      <xdr:spPr>
        <a:xfrm>
          <a:off x="10199659" y="3162643"/>
          <a:ext cx="1691552"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258371</xdr:colOff>
      <xdr:row>18</xdr:row>
      <xdr:rowOff>133501</xdr:rowOff>
    </xdr:from>
    <xdr:to>
      <xdr:col>16</xdr:col>
      <xdr:colOff>220578</xdr:colOff>
      <xdr:row>21</xdr:row>
      <xdr:rowOff>85780</xdr:rowOff>
    </xdr:to>
    <xdr:sp macro="" textlink="">
      <xdr:nvSpPr>
        <xdr:cNvPr id="32" name="Rectangle: Top Corners One Rounded and One Snipped 31">
          <a:extLst>
            <a:ext uri="{FF2B5EF4-FFF2-40B4-BE49-F238E27FC236}">
              <a16:creationId xmlns:a16="http://schemas.microsoft.com/office/drawing/2014/main" id="{B74914B6-26A5-5C9E-BAC3-3484B04458AC}"/>
            </a:ext>
          </a:extLst>
        </xdr:cNvPr>
        <xdr:cNvSpPr/>
      </xdr:nvSpPr>
      <xdr:spPr>
        <a:xfrm>
          <a:off x="7597634" y="3181501"/>
          <a:ext cx="1797023"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112200</xdr:colOff>
      <xdr:row>18</xdr:row>
      <xdr:rowOff>144725</xdr:rowOff>
    </xdr:from>
    <xdr:to>
      <xdr:col>12</xdr:col>
      <xdr:colOff>50132</xdr:colOff>
      <xdr:row>21</xdr:row>
      <xdr:rowOff>97004</xdr:rowOff>
    </xdr:to>
    <xdr:sp macro="" textlink="">
      <xdr:nvSpPr>
        <xdr:cNvPr id="33" name="Rectangle: Top Corners One Rounded and One Snipped 32">
          <a:extLst>
            <a:ext uri="{FF2B5EF4-FFF2-40B4-BE49-F238E27FC236}">
              <a16:creationId xmlns:a16="http://schemas.microsoft.com/office/drawing/2014/main" id="{28527AE4-8D9F-82C7-9260-D359F304F0F1}"/>
            </a:ext>
          </a:extLst>
        </xdr:cNvPr>
        <xdr:cNvSpPr/>
      </xdr:nvSpPr>
      <xdr:spPr>
        <a:xfrm>
          <a:off x="5005042" y="3192725"/>
          <a:ext cx="1772748"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editAs="oneCell">
    <xdr:from>
      <xdr:col>5</xdr:col>
      <xdr:colOff>146364</xdr:colOff>
      <xdr:row>16</xdr:row>
      <xdr:rowOff>70184</xdr:rowOff>
    </xdr:from>
    <xdr:to>
      <xdr:col>6</xdr:col>
      <xdr:colOff>54689</xdr:colOff>
      <xdr:row>17</xdr:row>
      <xdr:rowOff>174376</xdr:rowOff>
    </xdr:to>
    <xdr:pic>
      <xdr:nvPicPr>
        <xdr:cNvPr id="35" name="Graphic 34" descr="Document with solid fill">
          <a:extLst>
            <a:ext uri="{FF2B5EF4-FFF2-40B4-BE49-F238E27FC236}">
              <a16:creationId xmlns:a16="http://schemas.microsoft.com/office/drawing/2014/main" id="{74A7BE09-9B1C-C8E2-3678-A03D110C25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592785" y="2737184"/>
          <a:ext cx="519929" cy="294693"/>
        </a:xfrm>
        <a:prstGeom prst="rect">
          <a:avLst/>
        </a:prstGeom>
      </xdr:spPr>
    </xdr:pic>
    <xdr:clientData/>
  </xdr:twoCellAnchor>
  <xdr:oneCellAnchor>
    <xdr:from>
      <xdr:col>6</xdr:col>
      <xdr:colOff>4557</xdr:colOff>
      <xdr:row>16</xdr:row>
      <xdr:rowOff>18028</xdr:rowOff>
    </xdr:from>
    <xdr:ext cx="597021" cy="360772"/>
    <xdr:sp macro="" textlink="'Pivot Tables'!P80">
      <xdr:nvSpPr>
        <xdr:cNvPr id="36" name="TextBox 35">
          <a:extLst>
            <a:ext uri="{FF2B5EF4-FFF2-40B4-BE49-F238E27FC236}">
              <a16:creationId xmlns:a16="http://schemas.microsoft.com/office/drawing/2014/main" id="{9D10B994-199F-23B8-537C-2B477F5AEEA7}"/>
            </a:ext>
          </a:extLst>
        </xdr:cNvPr>
        <xdr:cNvSpPr txBox="1"/>
      </xdr:nvSpPr>
      <xdr:spPr>
        <a:xfrm>
          <a:off x="3062583" y="2685028"/>
          <a:ext cx="597021" cy="360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DE3C380-76CB-48CE-908D-6E6657B1B5F4}"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100</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413791</xdr:colOff>
      <xdr:row>16</xdr:row>
      <xdr:rowOff>6269</xdr:rowOff>
    </xdr:from>
    <xdr:to>
      <xdr:col>10</xdr:col>
      <xdr:colOff>203565</xdr:colOff>
      <xdr:row>18</xdr:row>
      <xdr:rowOff>22797</xdr:rowOff>
    </xdr:to>
    <xdr:pic>
      <xdr:nvPicPr>
        <xdr:cNvPr id="38" name="Graphic 37" descr="User with solid fill">
          <a:extLst>
            <a:ext uri="{FF2B5EF4-FFF2-40B4-BE49-F238E27FC236}">
              <a16:creationId xmlns:a16="http://schemas.microsoft.com/office/drawing/2014/main" id="{E1B6FCDB-8D55-D9EA-5AE6-B8FFD096E7C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5306633" y="2673269"/>
          <a:ext cx="401378" cy="397529"/>
        </a:xfrm>
        <a:prstGeom prst="rect">
          <a:avLst/>
        </a:prstGeom>
        <a:effectLst>
          <a:outerShdw blurRad="50800" dist="38100" dir="5400000" algn="t" rotWithShape="0">
            <a:prstClr val="black">
              <a:alpha val="40000"/>
            </a:prstClr>
          </a:outerShdw>
        </a:effectLst>
      </xdr:spPr>
    </xdr:pic>
    <xdr:clientData/>
  </xdr:twoCellAnchor>
  <xdr:oneCellAnchor>
    <xdr:from>
      <xdr:col>10</xdr:col>
      <xdr:colOff>213362</xdr:colOff>
      <xdr:row>16</xdr:row>
      <xdr:rowOff>24713</xdr:rowOff>
    </xdr:from>
    <xdr:ext cx="441146" cy="387222"/>
    <xdr:sp macro="" textlink="'Pivot Tables'!P81">
      <xdr:nvSpPr>
        <xdr:cNvPr id="39" name="TextBox 38">
          <a:extLst>
            <a:ext uri="{FF2B5EF4-FFF2-40B4-BE49-F238E27FC236}">
              <a16:creationId xmlns:a16="http://schemas.microsoft.com/office/drawing/2014/main" id="{68EAD96F-841D-C007-7A97-3232664A626F}"/>
            </a:ext>
          </a:extLst>
        </xdr:cNvPr>
        <xdr:cNvSpPr txBox="1"/>
      </xdr:nvSpPr>
      <xdr:spPr>
        <a:xfrm>
          <a:off x="5717809" y="2691713"/>
          <a:ext cx="44114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4878C0-0F0A-44B4-B4C5-2044BF0EE2C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17</xdr:col>
      <xdr:colOff>469192</xdr:colOff>
      <xdr:row>16</xdr:row>
      <xdr:rowOff>60158</xdr:rowOff>
    </xdr:from>
    <xdr:to>
      <xdr:col>18</xdr:col>
      <xdr:colOff>392684</xdr:colOff>
      <xdr:row>17</xdr:row>
      <xdr:rowOff>160420</xdr:rowOff>
    </xdr:to>
    <xdr:pic>
      <xdr:nvPicPr>
        <xdr:cNvPr id="41" name="Graphic 40" descr="Checklist with solid fill">
          <a:extLst>
            <a:ext uri="{FF2B5EF4-FFF2-40B4-BE49-F238E27FC236}">
              <a16:creationId xmlns:a16="http://schemas.microsoft.com/office/drawing/2014/main" id="{45C91AD8-2046-E3CC-20B8-F69241C5EDE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0254876" y="2727158"/>
          <a:ext cx="535098" cy="290763"/>
        </a:xfrm>
        <a:prstGeom prst="rect">
          <a:avLst/>
        </a:prstGeom>
      </xdr:spPr>
    </xdr:pic>
    <xdr:clientData/>
  </xdr:twoCellAnchor>
  <xdr:oneCellAnchor>
    <xdr:from>
      <xdr:col>14</xdr:col>
      <xdr:colOff>300992</xdr:colOff>
      <xdr:row>15</xdr:row>
      <xdr:rowOff>170448</xdr:rowOff>
    </xdr:from>
    <xdr:ext cx="441146" cy="387222"/>
    <xdr:sp macro="" textlink="'Pivot Tables'!P82">
      <xdr:nvSpPr>
        <xdr:cNvPr id="42" name="TextBox 41">
          <a:extLst>
            <a:ext uri="{FF2B5EF4-FFF2-40B4-BE49-F238E27FC236}">
              <a16:creationId xmlns:a16="http://schemas.microsoft.com/office/drawing/2014/main" id="{AD954CDE-CCC3-F4EB-C5C2-34615FBB1262}"/>
            </a:ext>
          </a:extLst>
        </xdr:cNvPr>
        <xdr:cNvSpPr txBox="1"/>
      </xdr:nvSpPr>
      <xdr:spPr>
        <a:xfrm>
          <a:off x="8251860" y="2646948"/>
          <a:ext cx="441146" cy="38722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none" rtlCol="0" anchor="t">
          <a:spAutoFit/>
        </a:bodyPr>
        <a:lstStyle/>
        <a:p>
          <a:fld id="{78CE2974-7939-432D-BAD2-CC3D455E214F}"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4</xdr:col>
      <xdr:colOff>113934</xdr:colOff>
      <xdr:row>2</xdr:row>
      <xdr:rowOff>50131</xdr:rowOff>
    </xdr:from>
    <xdr:to>
      <xdr:col>20</xdr:col>
      <xdr:colOff>463715</xdr:colOff>
      <xdr:row>8</xdr:row>
      <xdr:rowOff>12532</xdr:rowOff>
    </xdr:to>
    <mc:AlternateContent xmlns:mc="http://schemas.openxmlformats.org/markup-compatibility/2006" xmlns:a14="http://schemas.microsoft.com/office/drawing/2010/main">
      <mc:Choice Requires="a14">
        <xdr:graphicFrame macro="">
          <xdr:nvGraphicFramePr>
            <xdr:cNvPr id="3" name="Company 2">
              <a:extLst>
                <a:ext uri="{FF2B5EF4-FFF2-40B4-BE49-F238E27FC236}">
                  <a16:creationId xmlns:a16="http://schemas.microsoft.com/office/drawing/2014/main" id="{71E67AC4-BEBC-41DC-B411-D195E107EEB8}"/>
                </a:ext>
              </a:extLst>
            </xdr:cNvPr>
            <xdr:cNvGraphicFramePr/>
          </xdr:nvGraphicFramePr>
          <xdr:xfrm>
            <a:off x="0" y="0"/>
            <a:ext cx="0" cy="0"/>
          </xdr:xfrm>
          <a:graphic>
            <a:graphicData uri="http://schemas.microsoft.com/office/drawing/2010/slicer">
              <sle:slicer xmlns:sle="http://schemas.microsoft.com/office/drawing/2010/slicer" name="Company 2"/>
            </a:graphicData>
          </a:graphic>
        </xdr:graphicFrame>
      </mc:Choice>
      <mc:Fallback xmlns="">
        <xdr:sp macro="" textlink="">
          <xdr:nvSpPr>
            <xdr:cNvPr id="0" name=""/>
            <xdr:cNvSpPr>
              <a:spLocks noTextEdit="1"/>
            </xdr:cNvSpPr>
          </xdr:nvSpPr>
          <xdr:spPr>
            <a:xfrm>
              <a:off x="1938603" y="440312"/>
              <a:ext cx="10081348" cy="11329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414724</xdr:colOff>
      <xdr:row>8</xdr:row>
      <xdr:rowOff>110288</xdr:rowOff>
    </xdr:from>
    <xdr:to>
      <xdr:col>12</xdr:col>
      <xdr:colOff>401190</xdr:colOff>
      <xdr:row>14</xdr:row>
      <xdr:rowOff>125677</xdr:rowOff>
    </xdr:to>
    <mc:AlternateContent xmlns:mc="http://schemas.openxmlformats.org/markup-compatibility/2006" xmlns:a14="http://schemas.microsoft.com/office/drawing/2010/main">
      <mc:Choice Requires="a14">
        <xdr:graphicFrame macro="">
          <xdr:nvGraphicFramePr>
            <xdr:cNvPr id="6" name="Application Source 2">
              <a:extLst>
                <a:ext uri="{FF2B5EF4-FFF2-40B4-BE49-F238E27FC236}">
                  <a16:creationId xmlns:a16="http://schemas.microsoft.com/office/drawing/2014/main" id="{24FAAFB2-C4F6-4D6D-99E8-D51902539F1F}"/>
                </a:ext>
              </a:extLst>
            </xdr:cNvPr>
            <xdr:cNvGraphicFramePr/>
          </xdr:nvGraphicFramePr>
          <xdr:xfrm>
            <a:off x="0" y="0"/>
            <a:ext cx="0" cy="0"/>
          </xdr:xfrm>
          <a:graphic>
            <a:graphicData uri="http://schemas.microsoft.com/office/drawing/2010/slicer">
              <sle:slicer xmlns:sle="http://schemas.microsoft.com/office/drawing/2010/slicer" name="Application Source 2"/>
            </a:graphicData>
          </a:graphic>
        </xdr:graphicFrame>
      </mc:Choice>
      <mc:Fallback xmlns="">
        <xdr:sp macro="" textlink="">
          <xdr:nvSpPr>
            <xdr:cNvPr id="0" name=""/>
            <xdr:cNvSpPr>
              <a:spLocks noTextEdit="1"/>
            </xdr:cNvSpPr>
          </xdr:nvSpPr>
          <xdr:spPr>
            <a:xfrm>
              <a:off x="5327619" y="1190627"/>
              <a:ext cx="1828800" cy="1190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26204</xdr:colOff>
      <xdr:row>8</xdr:row>
      <xdr:rowOff>122234</xdr:rowOff>
    </xdr:from>
    <xdr:to>
      <xdr:col>20</xdr:col>
      <xdr:colOff>451182</xdr:colOff>
      <xdr:row>14</xdr:row>
      <xdr:rowOff>117221</xdr:rowOff>
    </xdr:to>
    <mc:AlternateContent xmlns:mc="http://schemas.openxmlformats.org/markup-compatibility/2006" xmlns:a14="http://schemas.microsoft.com/office/drawing/2010/main">
      <mc:Choice Requires="a14">
        <xdr:graphicFrame macro="">
          <xdr:nvGraphicFramePr>
            <xdr:cNvPr id="7" name="Status 2">
              <a:extLst>
                <a:ext uri="{FF2B5EF4-FFF2-40B4-BE49-F238E27FC236}">
                  <a16:creationId xmlns:a16="http://schemas.microsoft.com/office/drawing/2014/main" id="{364300FA-ED93-4C67-8231-BB5505A24D23}"/>
                </a:ext>
              </a:extLst>
            </xdr:cNvPr>
            <xdr:cNvGraphicFramePr/>
          </xdr:nvGraphicFramePr>
          <xdr:xfrm>
            <a:off x="0" y="0"/>
            <a:ext cx="0" cy="0"/>
          </xdr:xfrm>
          <a:graphic>
            <a:graphicData uri="http://schemas.microsoft.com/office/drawing/2010/slicer">
              <sle:slicer xmlns:sle="http://schemas.microsoft.com/office/drawing/2010/slicer" name="Status 2"/>
            </a:graphicData>
          </a:graphic>
        </xdr:graphicFrame>
      </mc:Choice>
      <mc:Fallback xmlns="">
        <xdr:sp macro="" textlink="">
          <xdr:nvSpPr>
            <xdr:cNvPr id="0" name=""/>
            <xdr:cNvSpPr>
              <a:spLocks noTextEdit="1"/>
            </xdr:cNvSpPr>
          </xdr:nvSpPr>
          <xdr:spPr>
            <a:xfrm>
              <a:off x="9809908" y="1251123"/>
              <a:ext cx="2259423" cy="1123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87732</xdr:colOff>
      <xdr:row>8</xdr:row>
      <xdr:rowOff>120315</xdr:rowOff>
    </xdr:from>
    <xdr:to>
      <xdr:col>16</xdr:col>
      <xdr:colOff>401052</xdr:colOff>
      <xdr:row>14</xdr:row>
      <xdr:rowOff>100264</xdr:rowOff>
    </xdr:to>
    <mc:AlternateContent xmlns:mc="http://schemas.openxmlformats.org/markup-compatibility/2006" xmlns:a14="http://schemas.microsoft.com/office/drawing/2010/main">
      <mc:Choice Requires="a14">
        <xdr:graphicFrame macro="">
          <xdr:nvGraphicFramePr>
            <xdr:cNvPr id="11" name="Experience 1">
              <a:extLst>
                <a:ext uri="{FF2B5EF4-FFF2-40B4-BE49-F238E27FC236}">
                  <a16:creationId xmlns:a16="http://schemas.microsoft.com/office/drawing/2014/main" id="{1940A886-6430-4148-B6FD-A70102D35DB3}"/>
                </a:ext>
              </a:extLst>
            </xdr:cNvPr>
            <xdr:cNvGraphicFramePr/>
          </xdr:nvGraphicFramePr>
          <xdr:xfrm>
            <a:off x="0" y="0"/>
            <a:ext cx="0" cy="0"/>
          </xdr:xfrm>
          <a:graphic>
            <a:graphicData uri="http://schemas.microsoft.com/office/drawing/2010/slicer">
              <sle:slicer xmlns:sle="http://schemas.microsoft.com/office/drawing/2010/slicer" name="Experience 1"/>
            </a:graphicData>
          </a:graphic>
        </xdr:graphicFrame>
      </mc:Choice>
      <mc:Fallback xmlns="">
        <xdr:sp macro="" textlink="">
          <xdr:nvSpPr>
            <xdr:cNvPr id="0" name=""/>
            <xdr:cNvSpPr>
              <a:spLocks noTextEdit="1"/>
            </xdr:cNvSpPr>
          </xdr:nvSpPr>
          <xdr:spPr>
            <a:xfrm>
              <a:off x="7457074" y="1190626"/>
              <a:ext cx="2155656" cy="1165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150393</xdr:colOff>
      <xdr:row>8</xdr:row>
      <xdr:rowOff>100262</xdr:rowOff>
    </xdr:from>
    <xdr:to>
      <xdr:col>9</xdr:col>
      <xdr:colOff>75194</xdr:colOff>
      <xdr:row>14</xdr:row>
      <xdr:rowOff>87730</xdr:rowOff>
    </xdr:to>
    <mc:AlternateContent xmlns:mc="http://schemas.openxmlformats.org/markup-compatibility/2006" xmlns:a14="http://schemas.microsoft.com/office/drawing/2010/main">
      <mc:Choice Requires="a14">
        <xdr:graphicFrame macro="">
          <xdr:nvGraphicFramePr>
            <xdr:cNvPr id="12" name="Role 1">
              <a:extLst>
                <a:ext uri="{FF2B5EF4-FFF2-40B4-BE49-F238E27FC236}">
                  <a16:creationId xmlns:a16="http://schemas.microsoft.com/office/drawing/2014/main" id="{74DC8B9A-0264-4BB8-A46E-59A11E69407B}"/>
                </a:ext>
              </a:extLst>
            </xdr:cNvPr>
            <xdr:cNvGraphicFramePr/>
          </xdr:nvGraphicFramePr>
          <xdr:xfrm>
            <a:off x="0" y="0"/>
            <a:ext cx="0" cy="0"/>
          </xdr:xfrm>
          <a:graphic>
            <a:graphicData uri="http://schemas.microsoft.com/office/drawing/2010/slicer">
              <sle:slicer xmlns:sle="http://schemas.microsoft.com/office/drawing/2010/slicer" name="Role 1"/>
            </a:graphicData>
          </a:graphic>
        </xdr:graphicFrame>
      </mc:Choice>
      <mc:Fallback xmlns="">
        <xdr:sp macro="" textlink="">
          <xdr:nvSpPr>
            <xdr:cNvPr id="0" name=""/>
            <xdr:cNvSpPr>
              <a:spLocks noTextEdit="1"/>
            </xdr:cNvSpPr>
          </xdr:nvSpPr>
          <xdr:spPr>
            <a:xfrm>
              <a:off x="1992729" y="1228223"/>
              <a:ext cx="2995361" cy="1115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290763</xdr:colOff>
      <xdr:row>15</xdr:row>
      <xdr:rowOff>164833</xdr:rowOff>
    </xdr:from>
    <xdr:to>
      <xdr:col>5</xdr:col>
      <xdr:colOff>10026</xdr:colOff>
      <xdr:row>18</xdr:row>
      <xdr:rowOff>1</xdr:rowOff>
    </xdr:to>
    <xdr:sp macro="" textlink="">
      <xdr:nvSpPr>
        <xdr:cNvPr id="4" name="Arrow: Right 3">
          <a:extLst>
            <a:ext uri="{FF2B5EF4-FFF2-40B4-BE49-F238E27FC236}">
              <a16:creationId xmlns:a16="http://schemas.microsoft.com/office/drawing/2014/main" id="{6FD8B349-4414-80CE-6E8A-59B83D772726}"/>
            </a:ext>
          </a:extLst>
        </xdr:cNvPr>
        <xdr:cNvSpPr/>
      </xdr:nvSpPr>
      <xdr:spPr>
        <a:xfrm>
          <a:off x="2125579" y="2641333"/>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290764</xdr:colOff>
      <xdr:row>19</xdr:row>
      <xdr:rowOff>4412</xdr:rowOff>
    </xdr:from>
    <xdr:to>
      <xdr:col>5</xdr:col>
      <xdr:colOff>10027</xdr:colOff>
      <xdr:row>21</xdr:row>
      <xdr:rowOff>30080</xdr:rowOff>
    </xdr:to>
    <xdr:sp macro="" textlink="">
      <xdr:nvSpPr>
        <xdr:cNvPr id="8" name="Arrow: Right 7">
          <a:extLst>
            <a:ext uri="{FF2B5EF4-FFF2-40B4-BE49-F238E27FC236}">
              <a16:creationId xmlns:a16="http://schemas.microsoft.com/office/drawing/2014/main" id="{1C8682F3-1CAB-9519-9237-B065E6969495}"/>
            </a:ext>
          </a:extLst>
        </xdr:cNvPr>
        <xdr:cNvSpPr/>
      </xdr:nvSpPr>
      <xdr:spPr>
        <a:xfrm>
          <a:off x="2125580" y="3242912"/>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270710</xdr:colOff>
      <xdr:row>15</xdr:row>
      <xdr:rowOff>124728</xdr:rowOff>
    </xdr:from>
    <xdr:to>
      <xdr:col>8</xdr:col>
      <xdr:colOff>601578</xdr:colOff>
      <xdr:row>17</xdr:row>
      <xdr:rowOff>150396</xdr:rowOff>
    </xdr:to>
    <xdr:sp macro="" textlink="">
      <xdr:nvSpPr>
        <xdr:cNvPr id="10" name="Arrow: Right 9">
          <a:extLst>
            <a:ext uri="{FF2B5EF4-FFF2-40B4-BE49-F238E27FC236}">
              <a16:creationId xmlns:a16="http://schemas.microsoft.com/office/drawing/2014/main" id="{B0F2F2B5-FCDB-AF8F-05E1-A9CD8D8D126D}"/>
            </a:ext>
          </a:extLst>
        </xdr:cNvPr>
        <xdr:cNvSpPr/>
      </xdr:nvSpPr>
      <xdr:spPr>
        <a:xfrm>
          <a:off x="4551947" y="260122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250657</xdr:colOff>
      <xdr:row>19</xdr:row>
      <xdr:rowOff>24465</xdr:rowOff>
    </xdr:from>
    <xdr:to>
      <xdr:col>8</xdr:col>
      <xdr:colOff>581525</xdr:colOff>
      <xdr:row>21</xdr:row>
      <xdr:rowOff>50133</xdr:rowOff>
    </xdr:to>
    <xdr:sp macro="" textlink="">
      <xdr:nvSpPr>
        <xdr:cNvPr id="13" name="Arrow: Right 12">
          <a:extLst>
            <a:ext uri="{FF2B5EF4-FFF2-40B4-BE49-F238E27FC236}">
              <a16:creationId xmlns:a16="http://schemas.microsoft.com/office/drawing/2014/main" id="{A60E8B4A-D2DE-F613-98EB-80442B38BF0F}"/>
            </a:ext>
          </a:extLst>
        </xdr:cNvPr>
        <xdr:cNvSpPr/>
      </xdr:nvSpPr>
      <xdr:spPr>
        <a:xfrm>
          <a:off x="4531894" y="3262965"/>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370975</xdr:colOff>
      <xdr:row>15</xdr:row>
      <xdr:rowOff>124728</xdr:rowOff>
    </xdr:from>
    <xdr:to>
      <xdr:col>13</xdr:col>
      <xdr:colOff>90238</xdr:colOff>
      <xdr:row>17</xdr:row>
      <xdr:rowOff>150396</xdr:rowOff>
    </xdr:to>
    <xdr:sp macro="" textlink="">
      <xdr:nvSpPr>
        <xdr:cNvPr id="14" name="Arrow: Right 13">
          <a:extLst>
            <a:ext uri="{FF2B5EF4-FFF2-40B4-BE49-F238E27FC236}">
              <a16:creationId xmlns:a16="http://schemas.microsoft.com/office/drawing/2014/main" id="{F1EB7816-4611-AA33-D2D4-950DDB7AE834}"/>
            </a:ext>
          </a:extLst>
        </xdr:cNvPr>
        <xdr:cNvSpPr/>
      </xdr:nvSpPr>
      <xdr:spPr>
        <a:xfrm>
          <a:off x="7098633" y="260122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360948</xdr:colOff>
      <xdr:row>19</xdr:row>
      <xdr:rowOff>14438</xdr:rowOff>
    </xdr:from>
    <xdr:to>
      <xdr:col>13</xdr:col>
      <xdr:colOff>80211</xdr:colOff>
      <xdr:row>21</xdr:row>
      <xdr:rowOff>40106</xdr:rowOff>
    </xdr:to>
    <xdr:sp macro="" textlink="">
      <xdr:nvSpPr>
        <xdr:cNvPr id="16" name="Arrow: Right 15">
          <a:extLst>
            <a:ext uri="{FF2B5EF4-FFF2-40B4-BE49-F238E27FC236}">
              <a16:creationId xmlns:a16="http://schemas.microsoft.com/office/drawing/2014/main" id="{0C17BEB4-3D79-4FE5-B53E-522B5C819E5E}"/>
            </a:ext>
          </a:extLst>
        </xdr:cNvPr>
        <xdr:cNvSpPr/>
      </xdr:nvSpPr>
      <xdr:spPr>
        <a:xfrm>
          <a:off x="7088606" y="325293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15</xdr:row>
      <xdr:rowOff>134755</xdr:rowOff>
    </xdr:from>
    <xdr:to>
      <xdr:col>17</xdr:col>
      <xdr:colOff>250659</xdr:colOff>
      <xdr:row>17</xdr:row>
      <xdr:rowOff>160423</xdr:rowOff>
    </xdr:to>
    <xdr:sp macro="" textlink="">
      <xdr:nvSpPr>
        <xdr:cNvPr id="17" name="Arrow: Right 16">
          <a:extLst>
            <a:ext uri="{FF2B5EF4-FFF2-40B4-BE49-F238E27FC236}">
              <a16:creationId xmlns:a16="http://schemas.microsoft.com/office/drawing/2014/main" id="{E791EA26-3B23-C800-D300-32A7B4C519F2}"/>
            </a:ext>
          </a:extLst>
        </xdr:cNvPr>
        <xdr:cNvSpPr/>
      </xdr:nvSpPr>
      <xdr:spPr>
        <a:xfrm>
          <a:off x="9705475" y="2611255"/>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18</xdr:row>
      <xdr:rowOff>164833</xdr:rowOff>
    </xdr:from>
    <xdr:to>
      <xdr:col>17</xdr:col>
      <xdr:colOff>250659</xdr:colOff>
      <xdr:row>21</xdr:row>
      <xdr:rowOff>1</xdr:rowOff>
    </xdr:to>
    <xdr:sp macro="" textlink="">
      <xdr:nvSpPr>
        <xdr:cNvPr id="18" name="Arrow: Right 17">
          <a:extLst>
            <a:ext uri="{FF2B5EF4-FFF2-40B4-BE49-F238E27FC236}">
              <a16:creationId xmlns:a16="http://schemas.microsoft.com/office/drawing/2014/main" id="{7200DE7B-9CBB-73FD-CCEE-B7010D0E7781}"/>
            </a:ext>
          </a:extLst>
        </xdr:cNvPr>
        <xdr:cNvSpPr/>
      </xdr:nvSpPr>
      <xdr:spPr>
        <a:xfrm>
          <a:off x="9705475" y="3212833"/>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370974</xdr:colOff>
      <xdr:row>15</xdr:row>
      <xdr:rowOff>160421</xdr:rowOff>
    </xdr:from>
    <xdr:ext cx="962526" cy="387222"/>
    <xdr:sp macro="" textlink="">
      <xdr:nvSpPr>
        <xdr:cNvPr id="34" name="TextBox 33">
          <a:extLst>
            <a:ext uri="{FF2B5EF4-FFF2-40B4-BE49-F238E27FC236}">
              <a16:creationId xmlns:a16="http://schemas.microsoft.com/office/drawing/2014/main" id="{ABCF457F-2007-1CAA-44A4-99B56A950B1A}"/>
            </a:ext>
          </a:extLst>
        </xdr:cNvPr>
        <xdr:cNvSpPr txBox="1"/>
      </xdr:nvSpPr>
      <xdr:spPr>
        <a:xfrm>
          <a:off x="10768263" y="2636921"/>
          <a:ext cx="96252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28%</a:t>
          </a:r>
        </a:p>
      </xdr:txBody>
    </xdr:sp>
    <xdr:clientData/>
  </xdr:oneCellAnchor>
  <xdr:twoCellAnchor editAs="oneCell">
    <xdr:from>
      <xdr:col>13</xdr:col>
      <xdr:colOff>340894</xdr:colOff>
      <xdr:row>16</xdr:row>
      <xdr:rowOff>30079</xdr:rowOff>
    </xdr:from>
    <xdr:to>
      <xdr:col>14</xdr:col>
      <xdr:colOff>330868</xdr:colOff>
      <xdr:row>18</xdr:row>
      <xdr:rowOff>10026</xdr:rowOff>
    </xdr:to>
    <xdr:pic>
      <xdr:nvPicPr>
        <xdr:cNvPr id="40" name="Graphic 39" descr="Envelope with solid fill">
          <a:extLst>
            <a:ext uri="{FF2B5EF4-FFF2-40B4-BE49-F238E27FC236}">
              <a16:creationId xmlns:a16="http://schemas.microsoft.com/office/drawing/2014/main" id="{C67B746B-3CC8-3254-FF17-944FBC31E99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680157" y="2697079"/>
          <a:ext cx="601579" cy="360948"/>
        </a:xfrm>
        <a:prstGeom prst="rect">
          <a:avLst/>
        </a:prstGeom>
      </xdr:spPr>
    </xdr:pic>
    <xdr:clientData/>
  </xdr:twoCellAnchor>
  <xdr:oneCellAnchor>
    <xdr:from>
      <xdr:col>9</xdr:col>
      <xdr:colOff>531394</xdr:colOff>
      <xdr:row>19</xdr:row>
      <xdr:rowOff>80211</xdr:rowOff>
    </xdr:from>
    <xdr:ext cx="1210588" cy="387222"/>
    <xdr:sp macro="" textlink="'Pivot Tables'!D34">
      <xdr:nvSpPr>
        <xdr:cNvPr id="44" name="TextBox 43">
          <a:extLst>
            <a:ext uri="{FF2B5EF4-FFF2-40B4-BE49-F238E27FC236}">
              <a16:creationId xmlns:a16="http://schemas.microsoft.com/office/drawing/2014/main" id="{1A5C4569-6C09-EBDF-10F6-E2D18E8170A1}"/>
            </a:ext>
          </a:extLst>
        </xdr:cNvPr>
        <xdr:cNvSpPr txBox="1"/>
      </xdr:nvSpPr>
      <xdr:spPr>
        <a:xfrm>
          <a:off x="5424236" y="3318711"/>
          <a:ext cx="121058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3904FF-6C83-4180-9BE7-2580B31D2683}"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16,98,104</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14</xdr:col>
      <xdr:colOff>591553</xdr:colOff>
      <xdr:row>19</xdr:row>
      <xdr:rowOff>130341</xdr:rowOff>
    </xdr:from>
    <xdr:ext cx="902811" cy="298800"/>
    <xdr:sp macro="" textlink="'Pivot Tables'!D35">
      <xdr:nvSpPr>
        <xdr:cNvPr id="45" name="TextBox 44">
          <a:extLst>
            <a:ext uri="{FF2B5EF4-FFF2-40B4-BE49-F238E27FC236}">
              <a16:creationId xmlns:a16="http://schemas.microsoft.com/office/drawing/2014/main" id="{A139F568-D008-ED19-E8C0-9437CAED3E7F}"/>
            </a:ext>
          </a:extLst>
        </xdr:cNvPr>
        <xdr:cNvSpPr txBox="1"/>
      </xdr:nvSpPr>
      <xdr:spPr>
        <a:xfrm>
          <a:off x="8542421" y="3368841"/>
          <a:ext cx="90281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AADADA-FD65-48EC-9726-19193AEBF907}" type="TxLink">
            <a:rPr lang="en-US" sz="1400" b="1" i="0" u="none" strike="noStrike">
              <a:solidFill>
                <a:schemeClr val="tx1"/>
              </a:solidFill>
              <a:latin typeface="Times New Roman" panose="02020603050405020304" pitchFamily="18" charset="0"/>
              <a:ea typeface="Calibri"/>
              <a:cs typeface="Times New Roman" panose="02020603050405020304" pitchFamily="18" charset="0"/>
            </a:rPr>
            <a:pPr/>
            <a:t>27,46,588</a:t>
          </a:fld>
          <a:endParaRPr lang="en-IN" sz="12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260685</xdr:colOff>
      <xdr:row>19</xdr:row>
      <xdr:rowOff>130342</xdr:rowOff>
    </xdr:from>
    <xdr:ext cx="813043" cy="298800"/>
    <xdr:sp macro="" textlink="'Pivot Tables'!D36">
      <xdr:nvSpPr>
        <xdr:cNvPr id="46" name="TextBox 45">
          <a:extLst>
            <a:ext uri="{FF2B5EF4-FFF2-40B4-BE49-F238E27FC236}">
              <a16:creationId xmlns:a16="http://schemas.microsoft.com/office/drawing/2014/main" id="{69883F6C-BBB9-B0DA-BF4C-A86A9B1E1DB3}"/>
            </a:ext>
          </a:extLst>
        </xdr:cNvPr>
        <xdr:cNvSpPr txBox="1"/>
      </xdr:nvSpPr>
      <xdr:spPr>
        <a:xfrm>
          <a:off x="7599948" y="3368842"/>
          <a:ext cx="81304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C96E4FC-AF95-4AA3-B028-AED144B50190}"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3,58,017</a:t>
          </a:fld>
          <a:endParaRPr lang="en-IN" sz="1400" b="1">
            <a:latin typeface="Times New Roman" panose="02020603050405020304" pitchFamily="18" charset="0"/>
            <a:cs typeface="Times New Roman" panose="02020603050405020304" pitchFamily="18" charset="0"/>
          </a:endParaRPr>
        </a:p>
      </xdr:txBody>
    </xdr:sp>
    <xdr:clientData/>
  </xdr:oneCellAnchor>
  <xdr:oneCellAnchor>
    <xdr:from>
      <xdr:col>14</xdr:col>
      <xdr:colOff>370973</xdr:colOff>
      <xdr:row>19</xdr:row>
      <xdr:rowOff>140367</xdr:rowOff>
    </xdr:from>
    <xdr:ext cx="300789" cy="311496"/>
    <xdr:sp macro="" textlink="">
      <xdr:nvSpPr>
        <xdr:cNvPr id="48" name="TextBox 47">
          <a:extLst>
            <a:ext uri="{FF2B5EF4-FFF2-40B4-BE49-F238E27FC236}">
              <a16:creationId xmlns:a16="http://schemas.microsoft.com/office/drawing/2014/main" id="{A16E89CD-FD26-8C38-37B8-09A391FC9ABB}"/>
            </a:ext>
          </a:extLst>
        </xdr:cNvPr>
        <xdr:cNvSpPr txBox="1"/>
      </xdr:nvSpPr>
      <xdr:spPr>
        <a:xfrm>
          <a:off x="8321841" y="3378867"/>
          <a:ext cx="3007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&amp;</a:t>
          </a:r>
        </a:p>
      </xdr:txBody>
    </xdr:sp>
    <xdr:clientData/>
  </xdr:oneCellAnchor>
  <xdr:twoCellAnchor editAs="oneCell">
    <xdr:from>
      <xdr:col>9</xdr:col>
      <xdr:colOff>190502</xdr:colOff>
      <xdr:row>19</xdr:row>
      <xdr:rowOff>90237</xdr:rowOff>
    </xdr:from>
    <xdr:to>
      <xdr:col>10</xdr:col>
      <xdr:colOff>3</xdr:colOff>
      <xdr:row>21</xdr:row>
      <xdr:rowOff>130342</xdr:rowOff>
    </xdr:to>
    <xdr:pic>
      <xdr:nvPicPr>
        <xdr:cNvPr id="50" name="Graphic 49" descr="Coins with solid fill">
          <a:extLst>
            <a:ext uri="{FF2B5EF4-FFF2-40B4-BE49-F238E27FC236}">
              <a16:creationId xmlns:a16="http://schemas.microsoft.com/office/drawing/2014/main" id="{8D1152B2-275E-D3B4-BCA4-C7D8706FA6E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083344" y="3328737"/>
          <a:ext cx="421105" cy="421105"/>
        </a:xfrm>
        <a:prstGeom prst="rect">
          <a:avLst/>
        </a:prstGeom>
      </xdr:spPr>
    </xdr:pic>
    <xdr:clientData/>
  </xdr:twoCellAnchor>
  <xdr:oneCellAnchor>
    <xdr:from>
      <xdr:col>18</xdr:col>
      <xdr:colOff>360948</xdr:colOff>
      <xdr:row>19</xdr:row>
      <xdr:rowOff>80210</xdr:rowOff>
    </xdr:from>
    <xdr:ext cx="505267" cy="387222"/>
    <xdr:sp macro="" textlink="">
      <xdr:nvSpPr>
        <xdr:cNvPr id="51" name="TextBox 50">
          <a:extLst>
            <a:ext uri="{FF2B5EF4-FFF2-40B4-BE49-F238E27FC236}">
              <a16:creationId xmlns:a16="http://schemas.microsoft.com/office/drawing/2014/main" id="{C2E8FA40-5442-A079-596A-AAB3A4BC1BB8}"/>
            </a:ext>
          </a:extLst>
        </xdr:cNvPr>
        <xdr:cNvSpPr txBox="1"/>
      </xdr:nvSpPr>
      <xdr:spPr>
        <a:xfrm>
          <a:off x="10758237" y="3318710"/>
          <a:ext cx="50526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3.6</a:t>
          </a:r>
        </a:p>
      </xdr:txBody>
    </xdr:sp>
    <xdr:clientData/>
  </xdr:oneCellAnchor>
  <xdr:twoCellAnchor editAs="oneCell">
    <xdr:from>
      <xdr:col>17</xdr:col>
      <xdr:colOff>531396</xdr:colOff>
      <xdr:row>19</xdr:row>
      <xdr:rowOff>110290</xdr:rowOff>
    </xdr:from>
    <xdr:to>
      <xdr:col>18</xdr:col>
      <xdr:colOff>290763</xdr:colOff>
      <xdr:row>21</xdr:row>
      <xdr:rowOff>100263</xdr:rowOff>
    </xdr:to>
    <xdr:pic>
      <xdr:nvPicPr>
        <xdr:cNvPr id="53" name="Graphic 52" descr="Briefcase with solid fill">
          <a:extLst>
            <a:ext uri="{FF2B5EF4-FFF2-40B4-BE49-F238E27FC236}">
              <a16:creationId xmlns:a16="http://schemas.microsoft.com/office/drawing/2014/main" id="{9CDE6960-3EE8-3968-C053-82F60796F48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0317080" y="3348790"/>
          <a:ext cx="370973" cy="370973"/>
        </a:xfrm>
        <a:prstGeom prst="rect">
          <a:avLst/>
        </a:prstGeom>
      </xdr:spPr>
    </xdr:pic>
    <xdr:clientData/>
  </xdr:twoCellAnchor>
  <xdr:oneCellAnchor>
    <xdr:from>
      <xdr:col>5</xdr:col>
      <xdr:colOff>100263</xdr:colOff>
      <xdr:row>15</xdr:row>
      <xdr:rowOff>0</xdr:rowOff>
    </xdr:from>
    <xdr:ext cx="1579535" cy="250657"/>
    <xdr:sp macro="" textlink="">
      <xdr:nvSpPr>
        <xdr:cNvPr id="54" name="TextBox 53">
          <a:extLst>
            <a:ext uri="{FF2B5EF4-FFF2-40B4-BE49-F238E27FC236}">
              <a16:creationId xmlns:a16="http://schemas.microsoft.com/office/drawing/2014/main" id="{A6DBA446-BA87-BC19-5616-60046966749C}"/>
            </a:ext>
          </a:extLst>
        </xdr:cNvPr>
        <xdr:cNvSpPr txBox="1"/>
      </xdr:nvSpPr>
      <xdr:spPr>
        <a:xfrm>
          <a:off x="2546684" y="2476500"/>
          <a:ext cx="1579535" cy="25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Applications:</a:t>
          </a:r>
          <a:endParaRPr lang="en-IN" sz="1400" b="1">
            <a:solidFill>
              <a:schemeClr val="tx1"/>
            </a:solidFill>
            <a:effectLst/>
          </a:endParaRPr>
        </a:p>
        <a:p>
          <a:endParaRPr lang="en-IN" sz="1100"/>
        </a:p>
      </xdr:txBody>
    </xdr:sp>
    <xdr:clientData/>
  </xdr:oneCellAnchor>
  <xdr:oneCellAnchor>
    <xdr:from>
      <xdr:col>9</xdr:col>
      <xdr:colOff>142279</xdr:colOff>
      <xdr:row>15</xdr:row>
      <xdr:rowOff>47722</xdr:rowOff>
    </xdr:from>
    <xdr:ext cx="184731" cy="264560"/>
    <xdr:sp macro="" textlink="">
      <xdr:nvSpPr>
        <xdr:cNvPr id="57" name="TextBox 56">
          <a:extLst>
            <a:ext uri="{FF2B5EF4-FFF2-40B4-BE49-F238E27FC236}">
              <a16:creationId xmlns:a16="http://schemas.microsoft.com/office/drawing/2014/main" id="{C8B850E3-7857-4F13-A97F-BCAAC7DCA18E}"/>
            </a:ext>
          </a:extLst>
        </xdr:cNvPr>
        <xdr:cNvSpPr txBox="1"/>
      </xdr:nvSpPr>
      <xdr:spPr>
        <a:xfrm>
          <a:off x="5035121" y="2524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164337</xdr:colOff>
      <xdr:row>14</xdr:row>
      <xdr:rowOff>190096</xdr:rowOff>
    </xdr:from>
    <xdr:ext cx="1048847" cy="311496"/>
    <xdr:sp macro="" textlink="">
      <xdr:nvSpPr>
        <xdr:cNvPr id="58" name="TextBox 57">
          <a:extLst>
            <a:ext uri="{FF2B5EF4-FFF2-40B4-BE49-F238E27FC236}">
              <a16:creationId xmlns:a16="http://schemas.microsoft.com/office/drawing/2014/main" id="{18C5D419-60CA-435B-8BED-41EBBE570E68}"/>
            </a:ext>
          </a:extLst>
        </xdr:cNvPr>
        <xdr:cNvSpPr txBox="1"/>
      </xdr:nvSpPr>
      <xdr:spPr>
        <a:xfrm>
          <a:off x="5057179" y="2476096"/>
          <a:ext cx="10488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Interviews:</a:t>
          </a:r>
        </a:p>
      </xdr:txBody>
    </xdr:sp>
    <xdr:clientData/>
  </xdr:oneCellAnchor>
  <xdr:oneCellAnchor>
    <xdr:from>
      <xdr:col>13</xdr:col>
      <xdr:colOff>320842</xdr:colOff>
      <xdr:row>14</xdr:row>
      <xdr:rowOff>190499</xdr:rowOff>
    </xdr:from>
    <xdr:ext cx="731921" cy="310817"/>
    <xdr:sp macro="" textlink="">
      <xdr:nvSpPr>
        <xdr:cNvPr id="59" name="TextBox 58">
          <a:extLst>
            <a:ext uri="{FF2B5EF4-FFF2-40B4-BE49-F238E27FC236}">
              <a16:creationId xmlns:a16="http://schemas.microsoft.com/office/drawing/2014/main" id="{5D6FD528-FB25-C0EE-690B-8E61BCDE940D}"/>
            </a:ext>
          </a:extLst>
        </xdr:cNvPr>
        <xdr:cNvSpPr txBox="1"/>
      </xdr:nvSpPr>
      <xdr:spPr>
        <a:xfrm>
          <a:off x="7660105" y="2476499"/>
          <a:ext cx="731921" cy="310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Offers:</a:t>
          </a:r>
          <a:endParaRPr lang="en-IN" sz="1400" b="1">
            <a:solidFill>
              <a:schemeClr val="tx1"/>
            </a:solidFill>
            <a:effectLst/>
          </a:endParaRPr>
        </a:p>
        <a:p>
          <a:endParaRPr lang="en-IN" sz="1100"/>
        </a:p>
      </xdr:txBody>
    </xdr:sp>
    <xdr:clientData/>
  </xdr:oneCellAnchor>
  <xdr:oneCellAnchor>
    <xdr:from>
      <xdr:col>17</xdr:col>
      <xdr:colOff>431133</xdr:colOff>
      <xdr:row>15</xdr:row>
      <xdr:rowOff>0</xdr:rowOff>
    </xdr:from>
    <xdr:ext cx="1534026" cy="310816"/>
    <xdr:sp macro="" textlink="">
      <xdr:nvSpPr>
        <xdr:cNvPr id="60" name="TextBox 59">
          <a:extLst>
            <a:ext uri="{FF2B5EF4-FFF2-40B4-BE49-F238E27FC236}">
              <a16:creationId xmlns:a16="http://schemas.microsoft.com/office/drawing/2014/main" id="{6DCCB3AC-6838-15F9-2BE9-A14F5586E2B7}"/>
            </a:ext>
          </a:extLst>
        </xdr:cNvPr>
        <xdr:cNvSpPr txBox="1"/>
      </xdr:nvSpPr>
      <xdr:spPr>
        <a:xfrm>
          <a:off x="10216817" y="2476500"/>
          <a:ext cx="1534026" cy="310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Times New Roman" panose="02020603050405020304" pitchFamily="18" charset="0"/>
            </a:rPr>
            <a:t>Acceptance Rate:</a:t>
          </a:r>
          <a:endParaRPr lang="en-IN" sz="1400" b="1">
            <a:effectLst/>
            <a:latin typeface="+mn-lt"/>
            <a:cs typeface="Times New Roman" panose="02020603050405020304" pitchFamily="18" charset="0"/>
          </a:endParaRPr>
        </a:p>
        <a:p>
          <a:endParaRPr lang="en-IN" sz="1100"/>
        </a:p>
      </xdr:txBody>
    </xdr:sp>
    <xdr:clientData/>
  </xdr:oneCellAnchor>
  <xdr:oneCellAnchor>
    <xdr:from>
      <xdr:col>5</xdr:col>
      <xdr:colOff>100264</xdr:colOff>
      <xdr:row>18</xdr:row>
      <xdr:rowOff>90237</xdr:rowOff>
    </xdr:from>
    <xdr:ext cx="1319207" cy="370974"/>
    <xdr:sp macro="" textlink="">
      <xdr:nvSpPr>
        <xdr:cNvPr id="61" name="TextBox 60">
          <a:extLst>
            <a:ext uri="{FF2B5EF4-FFF2-40B4-BE49-F238E27FC236}">
              <a16:creationId xmlns:a16="http://schemas.microsoft.com/office/drawing/2014/main" id="{7826C041-2331-9F19-3409-B6139F562DD7}"/>
            </a:ext>
          </a:extLst>
        </xdr:cNvPr>
        <xdr:cNvSpPr txBox="1"/>
      </xdr:nvSpPr>
      <xdr:spPr>
        <a:xfrm>
          <a:off x="2546685" y="3138237"/>
          <a:ext cx="1319207" cy="370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Rejection Rate:</a:t>
          </a:r>
          <a:endParaRPr lang="en-IN">
            <a:effectLst/>
          </a:endParaRPr>
        </a:p>
      </xdr:txBody>
    </xdr:sp>
    <xdr:clientData/>
  </xdr:oneCellAnchor>
  <xdr:oneCellAnchor>
    <xdr:from>
      <xdr:col>9</xdr:col>
      <xdr:colOff>90236</xdr:colOff>
      <xdr:row>18</xdr:row>
      <xdr:rowOff>70183</xdr:rowOff>
    </xdr:from>
    <xdr:ext cx="1112921" cy="350922"/>
    <xdr:sp macro="" textlink="">
      <xdr:nvSpPr>
        <xdr:cNvPr id="62" name="TextBox 61">
          <a:extLst>
            <a:ext uri="{FF2B5EF4-FFF2-40B4-BE49-F238E27FC236}">
              <a16:creationId xmlns:a16="http://schemas.microsoft.com/office/drawing/2014/main" id="{6D344973-A6DA-C82C-9F43-96C8AE38E7D2}"/>
            </a:ext>
          </a:extLst>
        </xdr:cNvPr>
        <xdr:cNvSpPr txBox="1"/>
      </xdr:nvSpPr>
      <xdr:spPr>
        <a:xfrm>
          <a:off x="4983078" y="3118183"/>
          <a:ext cx="1112921" cy="350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Salary:</a:t>
          </a:r>
          <a:endParaRPr lang="en-IN" sz="1400">
            <a:effectLst/>
          </a:endParaRPr>
        </a:p>
        <a:p>
          <a:endParaRPr lang="en-IN" sz="1100"/>
        </a:p>
      </xdr:txBody>
    </xdr:sp>
    <xdr:clientData/>
  </xdr:oneCellAnchor>
  <xdr:oneCellAnchor>
    <xdr:from>
      <xdr:col>21</xdr:col>
      <xdr:colOff>471237</xdr:colOff>
      <xdr:row>16</xdr:row>
      <xdr:rowOff>60158</xdr:rowOff>
    </xdr:from>
    <xdr:ext cx="184731" cy="264560"/>
    <xdr:sp macro="" textlink="">
      <xdr:nvSpPr>
        <xdr:cNvPr id="63" name="TextBox 62">
          <a:extLst>
            <a:ext uri="{FF2B5EF4-FFF2-40B4-BE49-F238E27FC236}">
              <a16:creationId xmlns:a16="http://schemas.microsoft.com/office/drawing/2014/main" id="{C4B5F38B-E79B-54D2-9636-EDD191CC37B2}"/>
            </a:ext>
          </a:extLst>
        </xdr:cNvPr>
        <xdr:cNvSpPr txBox="1"/>
      </xdr:nvSpPr>
      <xdr:spPr>
        <a:xfrm>
          <a:off x="12703342" y="27271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13</xdr:col>
      <xdr:colOff>220579</xdr:colOff>
      <xdr:row>18</xdr:row>
      <xdr:rowOff>80210</xdr:rowOff>
    </xdr:from>
    <xdr:to>
      <xdr:col>15</xdr:col>
      <xdr:colOff>576370</xdr:colOff>
      <xdr:row>20</xdr:row>
      <xdr:rowOff>83292</xdr:rowOff>
    </xdr:to>
    <xdr:pic>
      <xdr:nvPicPr>
        <xdr:cNvPr id="64" name="Picture 63">
          <a:extLst>
            <a:ext uri="{FF2B5EF4-FFF2-40B4-BE49-F238E27FC236}">
              <a16:creationId xmlns:a16="http://schemas.microsoft.com/office/drawing/2014/main" id="{197FE8F2-3A1E-B68C-4131-1E215889E2C3}"/>
            </a:ext>
          </a:extLst>
        </xdr:cNvPr>
        <xdr:cNvPicPr>
          <a:picLocks noChangeAspect="1"/>
        </xdr:cNvPicPr>
      </xdr:nvPicPr>
      <xdr:blipFill>
        <a:blip xmlns:r="http://schemas.openxmlformats.org/officeDocument/2006/relationships" r:embed="rId19"/>
        <a:stretch>
          <a:fillRect/>
        </a:stretch>
      </xdr:blipFill>
      <xdr:spPr>
        <a:xfrm>
          <a:off x="7559842" y="3128210"/>
          <a:ext cx="1579001" cy="384081"/>
        </a:xfrm>
        <a:prstGeom prst="rect">
          <a:avLst/>
        </a:prstGeom>
      </xdr:spPr>
    </xdr:pic>
    <xdr:clientData/>
  </xdr:twoCellAnchor>
  <xdr:oneCellAnchor>
    <xdr:from>
      <xdr:col>17</xdr:col>
      <xdr:colOff>461211</xdr:colOff>
      <xdr:row>18</xdr:row>
      <xdr:rowOff>70184</xdr:rowOff>
    </xdr:from>
    <xdr:ext cx="1370824" cy="340895"/>
    <xdr:sp macro="" textlink="">
      <xdr:nvSpPr>
        <xdr:cNvPr id="65" name="TextBox 64">
          <a:extLst>
            <a:ext uri="{FF2B5EF4-FFF2-40B4-BE49-F238E27FC236}">
              <a16:creationId xmlns:a16="http://schemas.microsoft.com/office/drawing/2014/main" id="{B728D3B4-0176-3685-CAE9-C7B13B705344}"/>
            </a:ext>
          </a:extLst>
        </xdr:cNvPr>
        <xdr:cNvSpPr txBox="1"/>
      </xdr:nvSpPr>
      <xdr:spPr>
        <a:xfrm>
          <a:off x="10246895" y="3118184"/>
          <a:ext cx="1370824" cy="340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Experience:</a:t>
          </a:r>
          <a:endParaRPr lang="en-IN" sz="1400">
            <a:effectLst/>
          </a:endParaRPr>
        </a:p>
        <a:p>
          <a:endParaRPr lang="en-IN" sz="1100"/>
        </a:p>
      </xdr:txBody>
    </xdr:sp>
    <xdr:clientData/>
  </xdr:oneCellAnchor>
  <xdr:twoCellAnchor>
    <xdr:from>
      <xdr:col>1</xdr:col>
      <xdr:colOff>280737</xdr:colOff>
      <xdr:row>13</xdr:row>
      <xdr:rowOff>60158</xdr:rowOff>
    </xdr:from>
    <xdr:to>
      <xdr:col>3</xdr:col>
      <xdr:colOff>391026</xdr:colOff>
      <xdr:row>15</xdr:row>
      <xdr:rowOff>70184</xdr:rowOff>
    </xdr:to>
    <xdr:sp macro="" textlink="">
      <xdr:nvSpPr>
        <xdr:cNvPr id="9" name="Rectangle: Rounded Corners 8">
          <a:hlinkClick xmlns:r="http://schemas.openxmlformats.org/officeDocument/2006/relationships" r:id="rId20"/>
          <a:extLst>
            <a:ext uri="{FF2B5EF4-FFF2-40B4-BE49-F238E27FC236}">
              <a16:creationId xmlns:a16="http://schemas.microsoft.com/office/drawing/2014/main" id="{01D1A96B-9D32-14BE-C7FB-A62C7EC846E9}"/>
            </a:ext>
          </a:extLst>
        </xdr:cNvPr>
        <xdr:cNvSpPr/>
      </xdr:nvSpPr>
      <xdr:spPr>
        <a:xfrm>
          <a:off x="280737" y="2155658"/>
          <a:ext cx="1333500" cy="39102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Dashboard</a:t>
          </a:r>
          <a:r>
            <a:rPr lang="en-IN"/>
            <a:t> </a:t>
          </a:r>
          <a:endParaRPr lang="en-IN" sz="1100"/>
        </a:p>
      </xdr:txBody>
    </xdr:sp>
    <xdr:clientData/>
  </xdr:twoCellAnchor>
  <xdr:twoCellAnchor>
    <xdr:from>
      <xdr:col>1</xdr:col>
      <xdr:colOff>280737</xdr:colOff>
      <xdr:row>16</xdr:row>
      <xdr:rowOff>80211</xdr:rowOff>
    </xdr:from>
    <xdr:to>
      <xdr:col>3</xdr:col>
      <xdr:colOff>391026</xdr:colOff>
      <xdr:row>18</xdr:row>
      <xdr:rowOff>90237</xdr:rowOff>
    </xdr:to>
    <xdr:sp macro="" textlink="">
      <xdr:nvSpPr>
        <xdr:cNvPr id="20" name="Rectangle: Rounded Corners 19">
          <a:hlinkClick xmlns:r="http://schemas.openxmlformats.org/officeDocument/2006/relationships" r:id="rId21"/>
          <a:extLst>
            <a:ext uri="{FF2B5EF4-FFF2-40B4-BE49-F238E27FC236}">
              <a16:creationId xmlns:a16="http://schemas.microsoft.com/office/drawing/2014/main" id="{8542125A-F41D-C4B7-5D25-8EFA02860CBF}"/>
            </a:ext>
          </a:extLst>
        </xdr:cNvPr>
        <xdr:cNvSpPr/>
      </xdr:nvSpPr>
      <xdr:spPr>
        <a:xfrm>
          <a:off x="280737" y="2747211"/>
          <a:ext cx="1333500"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Recruitment</a:t>
          </a:r>
          <a:r>
            <a:rPr lang="en-IN"/>
            <a:t> </a:t>
          </a:r>
          <a:endParaRPr lang="en-IN" sz="1100"/>
        </a:p>
      </xdr:txBody>
    </xdr:sp>
    <xdr:clientData/>
  </xdr:twoCellAnchor>
  <xdr:twoCellAnchor>
    <xdr:from>
      <xdr:col>1</xdr:col>
      <xdr:colOff>270711</xdr:colOff>
      <xdr:row>19</xdr:row>
      <xdr:rowOff>100263</xdr:rowOff>
    </xdr:from>
    <xdr:to>
      <xdr:col>3</xdr:col>
      <xdr:colOff>381000</xdr:colOff>
      <xdr:row>21</xdr:row>
      <xdr:rowOff>110289</xdr:rowOff>
    </xdr:to>
    <xdr:sp macro="" textlink="">
      <xdr:nvSpPr>
        <xdr:cNvPr id="37" name="Rectangle: Rounded Corners 36">
          <a:hlinkClick xmlns:r="http://schemas.openxmlformats.org/officeDocument/2006/relationships" r:id="rId22"/>
          <a:extLst>
            <a:ext uri="{FF2B5EF4-FFF2-40B4-BE49-F238E27FC236}">
              <a16:creationId xmlns:a16="http://schemas.microsoft.com/office/drawing/2014/main" id="{2ECD0B44-D871-267C-98CD-D91F5F451132}"/>
            </a:ext>
          </a:extLst>
        </xdr:cNvPr>
        <xdr:cNvSpPr/>
      </xdr:nvSpPr>
      <xdr:spPr>
        <a:xfrm>
          <a:off x="270711" y="3338763"/>
          <a:ext cx="1333500"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Experience</a:t>
          </a:r>
          <a:r>
            <a:rPr lang="en-IN" b="1"/>
            <a:t> </a:t>
          </a:r>
          <a:endParaRPr lang="en-IN" sz="1100" b="1"/>
        </a:p>
      </xdr:txBody>
    </xdr:sp>
    <xdr:clientData/>
  </xdr:twoCellAnchor>
  <xdr:twoCellAnchor>
    <xdr:from>
      <xdr:col>1</xdr:col>
      <xdr:colOff>280738</xdr:colOff>
      <xdr:row>22</xdr:row>
      <xdr:rowOff>130342</xdr:rowOff>
    </xdr:from>
    <xdr:to>
      <xdr:col>3</xdr:col>
      <xdr:colOff>391027</xdr:colOff>
      <xdr:row>24</xdr:row>
      <xdr:rowOff>140368</xdr:rowOff>
    </xdr:to>
    <xdr:sp macro="" textlink="">
      <xdr:nvSpPr>
        <xdr:cNvPr id="43" name="Rectangle: Rounded Corners 42">
          <a:hlinkClick xmlns:r="http://schemas.openxmlformats.org/officeDocument/2006/relationships" r:id="rId23"/>
          <a:extLst>
            <a:ext uri="{FF2B5EF4-FFF2-40B4-BE49-F238E27FC236}">
              <a16:creationId xmlns:a16="http://schemas.microsoft.com/office/drawing/2014/main" id="{A5237D8D-9294-B5F0-3126-444B121959C2}"/>
            </a:ext>
          </a:extLst>
        </xdr:cNvPr>
        <xdr:cNvSpPr/>
      </xdr:nvSpPr>
      <xdr:spPr>
        <a:xfrm>
          <a:off x="280738" y="3940342"/>
          <a:ext cx="1333500"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Salary</a:t>
          </a:r>
          <a:endParaRPr lang="en-IN" sz="1100"/>
        </a:p>
      </xdr:txBody>
    </xdr:sp>
    <xdr:clientData/>
  </xdr:twoCellAnchor>
  <xdr:twoCellAnchor editAs="oneCell">
    <xdr:from>
      <xdr:col>5</xdr:col>
      <xdr:colOff>180856</xdr:colOff>
      <xdr:row>19</xdr:row>
      <xdr:rowOff>108513</xdr:rowOff>
    </xdr:from>
    <xdr:to>
      <xdr:col>5</xdr:col>
      <xdr:colOff>590792</xdr:colOff>
      <xdr:row>21</xdr:row>
      <xdr:rowOff>132627</xdr:rowOff>
    </xdr:to>
    <xdr:pic>
      <xdr:nvPicPr>
        <xdr:cNvPr id="49" name="Graphic 48" descr="Close with solid fill">
          <a:extLst>
            <a:ext uri="{FF2B5EF4-FFF2-40B4-BE49-F238E27FC236}">
              <a16:creationId xmlns:a16="http://schemas.microsoft.com/office/drawing/2014/main" id="{8450E182-51BC-73A1-EBC4-7E1523B81D77}"/>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2640476" y="3388007"/>
          <a:ext cx="409936" cy="409936"/>
        </a:xfrm>
        <a:prstGeom prst="rect">
          <a:avLst/>
        </a:prstGeom>
      </xdr:spPr>
    </xdr:pic>
    <xdr:clientData/>
  </xdr:twoCellAnchor>
  <xdr:oneCellAnchor>
    <xdr:from>
      <xdr:col>5</xdr:col>
      <xdr:colOff>571501</xdr:colOff>
      <xdr:row>19</xdr:row>
      <xdr:rowOff>86591</xdr:rowOff>
    </xdr:from>
    <xdr:ext cx="631583" cy="405432"/>
    <xdr:sp macro="" textlink="">
      <xdr:nvSpPr>
        <xdr:cNvPr id="52" name="TextBox 51">
          <a:extLst>
            <a:ext uri="{FF2B5EF4-FFF2-40B4-BE49-F238E27FC236}">
              <a16:creationId xmlns:a16="http://schemas.microsoft.com/office/drawing/2014/main" id="{04549CA0-C1B6-0558-D39F-CDA835E15D16}"/>
            </a:ext>
          </a:extLst>
        </xdr:cNvPr>
        <xdr:cNvSpPr txBox="1"/>
      </xdr:nvSpPr>
      <xdr:spPr>
        <a:xfrm>
          <a:off x="2996046" y="3325091"/>
          <a:ext cx="631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23%</a:t>
          </a:r>
        </a:p>
      </xdr:txBody>
    </xdr:sp>
    <xdr:clientData/>
  </xdr:oneCellAnchor>
  <xdr:twoCellAnchor>
    <xdr:from>
      <xdr:col>4</xdr:col>
      <xdr:colOff>0</xdr:colOff>
      <xdr:row>1</xdr:row>
      <xdr:rowOff>141111</xdr:rowOff>
    </xdr:from>
    <xdr:to>
      <xdr:col>21</xdr:col>
      <xdr:colOff>35277</xdr:colOff>
      <xdr:row>2</xdr:row>
      <xdr:rowOff>0</xdr:rowOff>
    </xdr:to>
    <xdr:cxnSp macro="">
      <xdr:nvCxnSpPr>
        <xdr:cNvPr id="55" name="Straight Connector 54">
          <a:extLst>
            <a:ext uri="{FF2B5EF4-FFF2-40B4-BE49-F238E27FC236}">
              <a16:creationId xmlns:a16="http://schemas.microsoft.com/office/drawing/2014/main" id="{12521F5D-03C2-D952-F5D4-767B613EB2DE}"/>
            </a:ext>
          </a:extLst>
        </xdr:cNvPr>
        <xdr:cNvCxnSpPr/>
      </xdr:nvCxnSpPr>
      <xdr:spPr>
        <a:xfrm flipV="1">
          <a:off x="1834444" y="329259"/>
          <a:ext cx="10430463" cy="47037"/>
        </a:xfrm>
        <a:prstGeom prst="line">
          <a:avLst/>
        </a:prstGeom>
        <a:ln>
          <a:solidFill>
            <a:schemeClr val="accent4">
              <a:lumMod val="7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8</xdr:col>
      <xdr:colOff>78557</xdr:colOff>
      <xdr:row>0</xdr:row>
      <xdr:rowOff>0</xdr:rowOff>
    </xdr:from>
    <xdr:ext cx="5800254" cy="359457"/>
    <xdr:sp macro="" textlink="">
      <xdr:nvSpPr>
        <xdr:cNvPr id="70" name="TextBox 69">
          <a:extLst>
            <a:ext uri="{FF2B5EF4-FFF2-40B4-BE49-F238E27FC236}">
              <a16:creationId xmlns:a16="http://schemas.microsoft.com/office/drawing/2014/main" id="{65F04DE5-5824-0A6C-B111-35B7353F2620}"/>
            </a:ext>
          </a:extLst>
        </xdr:cNvPr>
        <xdr:cNvSpPr txBox="1"/>
      </xdr:nvSpPr>
      <xdr:spPr>
        <a:xfrm>
          <a:off x="4340258" y="0"/>
          <a:ext cx="5800254" cy="359457"/>
        </a:xfrm>
        <a:prstGeom prst="rect">
          <a:avLst/>
        </a:prstGeom>
        <a:solidFill>
          <a:schemeClr val="accent3"/>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solidFill>
                <a:schemeClr val="tx1"/>
              </a:solidFill>
              <a:latin typeface="Arial Rounded MT Bold" panose="020F0704030504030204" pitchFamily="34" charset="0"/>
            </a:rPr>
            <a:t>**Job Application</a:t>
          </a:r>
          <a:r>
            <a:rPr lang="en-IN" sz="1800" b="1" baseline="0">
              <a:solidFill>
                <a:schemeClr val="tx1"/>
              </a:solidFill>
              <a:latin typeface="Arial Rounded MT Bold" panose="020F0704030504030204" pitchFamily="34" charset="0"/>
            </a:rPr>
            <a:t> Tracking &amp; Offer Analytics**</a:t>
          </a:r>
          <a:endParaRPr lang="en-IN" sz="1800" b="1">
            <a:solidFill>
              <a:schemeClr val="tx1"/>
            </a:solidFill>
            <a:latin typeface="Arial Rounded MT Bold" panose="020F0704030504030204" pitchFamily="34" charset="0"/>
          </a:endParaRPr>
        </a:p>
      </xdr:txBody>
    </xdr:sp>
    <xdr:clientData/>
  </xdr:oneCellAnchor>
  <xdr:twoCellAnchor editAs="oneCell">
    <xdr:from>
      <xdr:col>1</xdr:col>
      <xdr:colOff>49049</xdr:colOff>
      <xdr:row>0</xdr:row>
      <xdr:rowOff>89764</xdr:rowOff>
    </xdr:from>
    <xdr:to>
      <xdr:col>3</xdr:col>
      <xdr:colOff>552696</xdr:colOff>
      <xdr:row>6</xdr:row>
      <xdr:rowOff>115860</xdr:rowOff>
    </xdr:to>
    <xdr:pic>
      <xdr:nvPicPr>
        <xdr:cNvPr id="72" name="Picture 71">
          <a:extLst>
            <a:ext uri="{FF2B5EF4-FFF2-40B4-BE49-F238E27FC236}">
              <a16:creationId xmlns:a16="http://schemas.microsoft.com/office/drawing/2014/main" id="{B7DAD976-8EBF-10D8-B905-94775C9015EE}"/>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9049" y="89764"/>
          <a:ext cx="1720093" cy="1196638"/>
        </a:xfrm>
        <a:prstGeom prst="ellipse">
          <a:avLst/>
        </a:prstGeom>
        <a:ln w="63500" cap="rnd">
          <a:solidFill>
            <a:schemeClr val="bg1">
              <a:lumMod val="9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2.xml><?xml version="1.0" encoding="utf-8"?>
<c:userShapes xmlns:c="http://schemas.openxmlformats.org/drawingml/2006/chart">
  <cdr:relSizeAnchor xmlns:cdr="http://schemas.openxmlformats.org/drawingml/2006/chartDrawing">
    <cdr:from>
      <cdr:x>0.35224</cdr:x>
      <cdr:y>0</cdr:y>
    </cdr:from>
    <cdr:to>
      <cdr:x>0.60703</cdr:x>
      <cdr:y>0.17088</cdr:y>
    </cdr:to>
    <cdr:sp macro="" textlink="">
      <cdr:nvSpPr>
        <cdr:cNvPr id="2" name="TextBox 1">
          <a:extLst xmlns:a="http://schemas.openxmlformats.org/drawingml/2006/main">
            <a:ext uri="{FF2B5EF4-FFF2-40B4-BE49-F238E27FC236}">
              <a16:creationId xmlns:a16="http://schemas.microsoft.com/office/drawing/2014/main" id="{C64DCA3D-8BE9-28AC-406A-4A66B09A4123}"/>
            </a:ext>
          </a:extLst>
        </cdr:cNvPr>
        <cdr:cNvSpPr txBox="1"/>
      </cdr:nvSpPr>
      <cdr:spPr>
        <a:xfrm xmlns:a="http://schemas.openxmlformats.org/drawingml/2006/main">
          <a:off x="1566354" y="0"/>
          <a:ext cx="1132973" cy="404698"/>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1400" b="1"/>
            <a:t>Salary Analysis by Role</a:t>
          </a:r>
          <a:endParaRPr lang="en-IN" sz="1400" b="1" kern="1200"/>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0</xdr:colOff>
      <xdr:row>48</xdr:row>
      <xdr:rowOff>186938</xdr:rowOff>
    </xdr:to>
    <xdr:sp macro="" textlink="">
      <xdr:nvSpPr>
        <xdr:cNvPr id="2" name="Rectangle 1">
          <a:extLst>
            <a:ext uri="{FF2B5EF4-FFF2-40B4-BE49-F238E27FC236}">
              <a16:creationId xmlns:a16="http://schemas.microsoft.com/office/drawing/2014/main" id="{633EA3C1-62AC-49C6-81EB-E71630378D31}"/>
            </a:ext>
          </a:extLst>
        </xdr:cNvPr>
        <xdr:cNvSpPr/>
      </xdr:nvSpPr>
      <xdr:spPr>
        <a:xfrm>
          <a:off x="0" y="0"/>
          <a:ext cx="1815703" cy="9235688"/>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0</xdr:rowOff>
    </xdr:from>
    <xdr:to>
      <xdr:col>21</xdr:col>
      <xdr:colOff>0</xdr:colOff>
      <xdr:row>48</xdr:row>
      <xdr:rowOff>186938</xdr:rowOff>
    </xdr:to>
    <xdr:sp macro="" textlink="">
      <xdr:nvSpPr>
        <xdr:cNvPr id="3" name="Rectangle 2">
          <a:extLst>
            <a:ext uri="{FF2B5EF4-FFF2-40B4-BE49-F238E27FC236}">
              <a16:creationId xmlns:a16="http://schemas.microsoft.com/office/drawing/2014/main" id="{36007D9A-8E9D-463F-8BE9-BC1841784665}"/>
            </a:ext>
          </a:extLst>
        </xdr:cNvPr>
        <xdr:cNvSpPr/>
      </xdr:nvSpPr>
      <xdr:spPr>
        <a:xfrm>
          <a:off x="1828800" y="0"/>
          <a:ext cx="10363200" cy="9330938"/>
        </a:xfrm>
        <a:prstGeom prst="rect">
          <a:avLst/>
        </a:prstGeom>
        <a:solidFill>
          <a:srgbClr val="A6A6A6">
            <a:alpha val="8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191925</xdr:colOff>
      <xdr:row>20</xdr:row>
      <xdr:rowOff>0</xdr:rowOff>
    </xdr:from>
    <xdr:to>
      <xdr:col>20</xdr:col>
      <xdr:colOff>382780</xdr:colOff>
      <xdr:row>22</xdr:row>
      <xdr:rowOff>33115</xdr:rowOff>
    </xdr:to>
    <xdr:sp macro="" textlink="">
      <xdr:nvSpPr>
        <xdr:cNvPr id="4" name="Rectangle: Rounded Corners 3">
          <a:extLst>
            <a:ext uri="{FF2B5EF4-FFF2-40B4-BE49-F238E27FC236}">
              <a16:creationId xmlns:a16="http://schemas.microsoft.com/office/drawing/2014/main" id="{F87C4137-8E04-4FA4-8572-34F276CD6923}"/>
            </a:ext>
          </a:extLst>
        </xdr:cNvPr>
        <xdr:cNvSpPr/>
      </xdr:nvSpPr>
      <xdr:spPr>
        <a:xfrm>
          <a:off x="2020725" y="3810000"/>
          <a:ext cx="9944455" cy="41411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000" b="1">
              <a:solidFill>
                <a:schemeClr val="tx1">
                  <a:lumMod val="95000"/>
                  <a:lumOff val="5000"/>
                </a:schemeClr>
              </a:solidFill>
            </a:rPr>
            <a:t>Job Analytics</a:t>
          </a:r>
        </a:p>
      </xdr:txBody>
    </xdr:sp>
    <xdr:clientData/>
  </xdr:twoCellAnchor>
  <xdr:twoCellAnchor>
    <xdr:from>
      <xdr:col>10</xdr:col>
      <xdr:colOff>44509</xdr:colOff>
      <xdr:row>20</xdr:row>
      <xdr:rowOff>0</xdr:rowOff>
    </xdr:from>
    <xdr:to>
      <xdr:col>11</xdr:col>
      <xdr:colOff>44509</xdr:colOff>
      <xdr:row>22</xdr:row>
      <xdr:rowOff>33114</xdr:rowOff>
    </xdr:to>
    <mc:AlternateContent xmlns:mc="http://schemas.openxmlformats.org/markup-compatibility/2006">
      <mc:Choice xmlns:am3d="http://schemas.microsoft.com/office/drawing/2017/model3d" Requires="am3d">
        <xdr:graphicFrame macro="">
          <xdr:nvGraphicFramePr>
            <xdr:cNvPr id="5" name="3D Model 4" descr="Upward Trend">
              <a:extLst>
                <a:ext uri="{FF2B5EF4-FFF2-40B4-BE49-F238E27FC236}">
                  <a16:creationId xmlns:a16="http://schemas.microsoft.com/office/drawing/2014/main" id="{029079CD-0D30-44C7-A2BF-162E7F76F7B6}"/>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616324" cy="425320"/>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m3d:postTrans dx="0" dy="0" dz="0"/>
                </am3d:trans>
                <am3d:raster rName="Office3DRenderer" rVer="16.0.8326">
                  <am3d:blip r:embed="rId2"/>
                </am3d:raster>
                <am3d:objViewport viewportSz="64321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Upward Trend">
              <a:extLst>
                <a:ext uri="{FF2B5EF4-FFF2-40B4-BE49-F238E27FC236}">
                  <a16:creationId xmlns:a16="http://schemas.microsoft.com/office/drawing/2014/main" id="{029079CD-0D30-44C7-A2BF-162E7F76F7B6}"/>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6207744" y="3922059"/>
              <a:ext cx="616324" cy="425320"/>
            </a:xfrm>
            <a:prstGeom prst="rect">
              <a:avLst/>
            </a:prstGeom>
          </xdr:spPr>
        </xdr:pic>
      </mc:Fallback>
    </mc:AlternateContent>
    <xdr:clientData/>
  </xdr:twoCellAnchor>
  <xdr:twoCellAnchor>
    <xdr:from>
      <xdr:col>4</xdr:col>
      <xdr:colOff>584229</xdr:colOff>
      <xdr:row>22</xdr:row>
      <xdr:rowOff>167711</xdr:rowOff>
    </xdr:from>
    <xdr:to>
      <xdr:col>12</xdr:col>
      <xdr:colOff>392304</xdr:colOff>
      <xdr:row>33</xdr:row>
      <xdr:rowOff>66674</xdr:rowOff>
    </xdr:to>
    <xdr:graphicFrame macro="">
      <xdr:nvGraphicFramePr>
        <xdr:cNvPr id="6" name="Company vs Status">
          <a:extLst>
            <a:ext uri="{FF2B5EF4-FFF2-40B4-BE49-F238E27FC236}">
              <a16:creationId xmlns:a16="http://schemas.microsoft.com/office/drawing/2014/main" id="{3E682F1F-7144-425E-B282-B0534727F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408691</xdr:colOff>
      <xdr:row>22</xdr:row>
      <xdr:rowOff>141322</xdr:rowOff>
    </xdr:from>
    <xdr:ext cx="1977094" cy="311496"/>
    <xdr:sp macro="" textlink="">
      <xdr:nvSpPr>
        <xdr:cNvPr id="7" name="TextBox 6">
          <a:extLst>
            <a:ext uri="{FF2B5EF4-FFF2-40B4-BE49-F238E27FC236}">
              <a16:creationId xmlns:a16="http://schemas.microsoft.com/office/drawing/2014/main" id="{125449C7-84AA-494F-A4AC-4898E5E97349}"/>
            </a:ext>
          </a:extLst>
        </xdr:cNvPr>
        <xdr:cNvSpPr txBox="1"/>
      </xdr:nvSpPr>
      <xdr:spPr>
        <a:xfrm>
          <a:off x="4055405" y="4332322"/>
          <a:ext cx="197709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Company</a:t>
          </a:r>
          <a:r>
            <a:rPr lang="en-IN" sz="1400" b="1" baseline="0">
              <a:solidFill>
                <a:schemeClr val="tx1"/>
              </a:solidFill>
            </a:rPr>
            <a:t> vs Status</a:t>
          </a:r>
          <a:endParaRPr lang="en-IN" sz="1400" b="1">
            <a:solidFill>
              <a:schemeClr val="tx1"/>
            </a:solidFill>
          </a:endParaRPr>
        </a:p>
      </xdr:txBody>
    </xdr:sp>
    <xdr:clientData/>
  </xdr:oneCellAnchor>
  <xdr:twoCellAnchor>
    <xdr:from>
      <xdr:col>5</xdr:col>
      <xdr:colOff>116287</xdr:colOff>
      <xdr:row>13</xdr:row>
      <xdr:rowOff>48512</xdr:rowOff>
    </xdr:from>
    <xdr:to>
      <xdr:col>8</xdr:col>
      <xdr:colOff>0</xdr:colOff>
      <xdr:row>16</xdr:row>
      <xdr:rowOff>2715</xdr:rowOff>
    </xdr:to>
    <xdr:sp macro="" textlink="">
      <xdr:nvSpPr>
        <xdr:cNvPr id="11" name="Rectangle: Top Corners One Rounded and One Snipped 10">
          <a:extLst>
            <a:ext uri="{FF2B5EF4-FFF2-40B4-BE49-F238E27FC236}">
              <a16:creationId xmlns:a16="http://schemas.microsoft.com/office/drawing/2014/main" id="{D1A21432-D68D-4A6F-8852-35BA6BDB171F}"/>
            </a:ext>
          </a:extLst>
        </xdr:cNvPr>
        <xdr:cNvSpPr/>
      </xdr:nvSpPr>
      <xdr:spPr>
        <a:xfrm>
          <a:off x="2554687" y="2525012"/>
          <a:ext cx="1712513" cy="525703"/>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142279</xdr:colOff>
      <xdr:row>13</xdr:row>
      <xdr:rowOff>47722</xdr:rowOff>
    </xdr:from>
    <xdr:to>
      <xdr:col>12</xdr:col>
      <xdr:colOff>60158</xdr:colOff>
      <xdr:row>16</xdr:row>
      <xdr:rowOff>1</xdr:rowOff>
    </xdr:to>
    <xdr:sp macro="" textlink="">
      <xdr:nvSpPr>
        <xdr:cNvPr id="12" name="Rectangle: Top Corners One Rounded and One Snipped 11">
          <a:extLst>
            <a:ext uri="{FF2B5EF4-FFF2-40B4-BE49-F238E27FC236}">
              <a16:creationId xmlns:a16="http://schemas.microsoft.com/office/drawing/2014/main" id="{32619796-4762-4E70-8E0D-2B6CF2BF1AFA}"/>
            </a:ext>
          </a:extLst>
        </xdr:cNvPr>
        <xdr:cNvSpPr/>
      </xdr:nvSpPr>
      <xdr:spPr>
        <a:xfrm>
          <a:off x="5019079" y="2524222"/>
          <a:ext cx="1746679"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268398</xdr:colOff>
      <xdr:row>13</xdr:row>
      <xdr:rowOff>47721</xdr:rowOff>
    </xdr:from>
    <xdr:to>
      <xdr:col>16</xdr:col>
      <xdr:colOff>230605</xdr:colOff>
      <xdr:row>16</xdr:row>
      <xdr:rowOff>0</xdr:rowOff>
    </xdr:to>
    <xdr:sp macro="" textlink="">
      <xdr:nvSpPr>
        <xdr:cNvPr id="13" name="Rectangle: Top Corners One Rounded and One Snipped 12">
          <a:extLst>
            <a:ext uri="{FF2B5EF4-FFF2-40B4-BE49-F238E27FC236}">
              <a16:creationId xmlns:a16="http://schemas.microsoft.com/office/drawing/2014/main" id="{021883DF-196A-43D6-9174-F1D828475A29}"/>
            </a:ext>
          </a:extLst>
        </xdr:cNvPr>
        <xdr:cNvSpPr/>
      </xdr:nvSpPr>
      <xdr:spPr>
        <a:xfrm>
          <a:off x="7583598" y="252422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400">
            <a:effectLst/>
          </a:endParaRPr>
        </a:p>
        <a:p>
          <a:pPr algn="l"/>
          <a:endParaRPr lang="en-IN" sz="1400" b="1">
            <a:solidFill>
              <a:schemeClr val="tx1"/>
            </a:solidFill>
          </a:endParaRPr>
        </a:p>
      </xdr:txBody>
    </xdr:sp>
    <xdr:clientData/>
  </xdr:twoCellAnchor>
  <xdr:twoCellAnchor>
    <xdr:from>
      <xdr:col>17</xdr:col>
      <xdr:colOff>413974</xdr:colOff>
      <xdr:row>13</xdr:row>
      <xdr:rowOff>47721</xdr:rowOff>
    </xdr:from>
    <xdr:to>
      <xdr:col>20</xdr:col>
      <xdr:colOff>270711</xdr:colOff>
      <xdr:row>16</xdr:row>
      <xdr:rowOff>0</xdr:rowOff>
    </xdr:to>
    <xdr:sp macro="" textlink="">
      <xdr:nvSpPr>
        <xdr:cNvPr id="14" name="Rectangle: Top Corners One Rounded and One Snipped 13">
          <a:extLst>
            <a:ext uri="{FF2B5EF4-FFF2-40B4-BE49-F238E27FC236}">
              <a16:creationId xmlns:a16="http://schemas.microsoft.com/office/drawing/2014/main" id="{AE08AF7C-1CBF-4F38-B45D-3784603D4EC7}"/>
            </a:ext>
          </a:extLst>
        </xdr:cNvPr>
        <xdr:cNvSpPr/>
      </xdr:nvSpPr>
      <xdr:spPr>
        <a:xfrm>
          <a:off x="10167574" y="2524221"/>
          <a:ext cx="168553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400" b="1">
            <a:solidFill>
              <a:schemeClr val="tx1"/>
            </a:solidFill>
          </a:endParaRPr>
        </a:p>
      </xdr:txBody>
    </xdr:sp>
    <xdr:clientData/>
  </xdr:twoCellAnchor>
  <xdr:twoCellAnchor>
    <xdr:from>
      <xdr:col>5</xdr:col>
      <xdr:colOff>106260</xdr:colOff>
      <xdr:row>16</xdr:row>
      <xdr:rowOff>154750</xdr:rowOff>
    </xdr:from>
    <xdr:to>
      <xdr:col>7</xdr:col>
      <xdr:colOff>611604</xdr:colOff>
      <xdr:row>19</xdr:row>
      <xdr:rowOff>107029</xdr:rowOff>
    </xdr:to>
    <xdr:sp macro="" textlink="">
      <xdr:nvSpPr>
        <xdr:cNvPr id="15" name="Rectangle: Top Corners One Rounded and One Snipped 14">
          <a:extLst>
            <a:ext uri="{FF2B5EF4-FFF2-40B4-BE49-F238E27FC236}">
              <a16:creationId xmlns:a16="http://schemas.microsoft.com/office/drawing/2014/main" id="{D3438AD9-66F0-4888-A11F-2F1B4675998C}"/>
            </a:ext>
          </a:extLst>
        </xdr:cNvPr>
        <xdr:cNvSpPr/>
      </xdr:nvSpPr>
      <xdr:spPr>
        <a:xfrm>
          <a:off x="2544660" y="3202750"/>
          <a:ext cx="1724544"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17</xdr:col>
      <xdr:colOff>413975</xdr:colOff>
      <xdr:row>16</xdr:row>
      <xdr:rowOff>114643</xdr:rowOff>
    </xdr:from>
    <xdr:to>
      <xdr:col>20</xdr:col>
      <xdr:colOff>270711</xdr:colOff>
      <xdr:row>19</xdr:row>
      <xdr:rowOff>66922</xdr:rowOff>
    </xdr:to>
    <xdr:sp macro="" textlink="">
      <xdr:nvSpPr>
        <xdr:cNvPr id="16" name="Rectangle: Top Corners One Rounded and One Snipped 15">
          <a:extLst>
            <a:ext uri="{FF2B5EF4-FFF2-40B4-BE49-F238E27FC236}">
              <a16:creationId xmlns:a16="http://schemas.microsoft.com/office/drawing/2014/main" id="{E6C0FC92-73A5-4B11-93D3-733A1537CA60}"/>
            </a:ext>
          </a:extLst>
        </xdr:cNvPr>
        <xdr:cNvSpPr/>
      </xdr:nvSpPr>
      <xdr:spPr>
        <a:xfrm>
          <a:off x="10167575" y="3162643"/>
          <a:ext cx="1685536"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258371</xdr:colOff>
      <xdr:row>16</xdr:row>
      <xdr:rowOff>133501</xdr:rowOff>
    </xdr:from>
    <xdr:to>
      <xdr:col>16</xdr:col>
      <xdr:colOff>220578</xdr:colOff>
      <xdr:row>19</xdr:row>
      <xdr:rowOff>85780</xdr:rowOff>
    </xdr:to>
    <xdr:sp macro="" textlink="">
      <xdr:nvSpPr>
        <xdr:cNvPr id="17" name="Rectangle: Top Corners One Rounded and One Snipped 16">
          <a:extLst>
            <a:ext uri="{FF2B5EF4-FFF2-40B4-BE49-F238E27FC236}">
              <a16:creationId xmlns:a16="http://schemas.microsoft.com/office/drawing/2014/main" id="{672E4592-F386-4B3D-A9F7-4487969F6AF9}"/>
            </a:ext>
          </a:extLst>
        </xdr:cNvPr>
        <xdr:cNvSpPr/>
      </xdr:nvSpPr>
      <xdr:spPr>
        <a:xfrm>
          <a:off x="7573571" y="318150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112200</xdr:colOff>
      <xdr:row>16</xdr:row>
      <xdr:rowOff>144725</xdr:rowOff>
    </xdr:from>
    <xdr:to>
      <xdr:col>12</xdr:col>
      <xdr:colOff>50132</xdr:colOff>
      <xdr:row>19</xdr:row>
      <xdr:rowOff>97004</xdr:rowOff>
    </xdr:to>
    <xdr:sp macro="" textlink="">
      <xdr:nvSpPr>
        <xdr:cNvPr id="18" name="Rectangle: Top Corners One Rounded and One Snipped 17">
          <a:extLst>
            <a:ext uri="{FF2B5EF4-FFF2-40B4-BE49-F238E27FC236}">
              <a16:creationId xmlns:a16="http://schemas.microsoft.com/office/drawing/2014/main" id="{251CB549-62E7-4191-B922-45EC593DA2B5}"/>
            </a:ext>
          </a:extLst>
        </xdr:cNvPr>
        <xdr:cNvSpPr/>
      </xdr:nvSpPr>
      <xdr:spPr>
        <a:xfrm>
          <a:off x="4989000" y="3192725"/>
          <a:ext cx="1766732"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editAs="oneCell">
    <xdr:from>
      <xdr:col>5</xdr:col>
      <xdr:colOff>146364</xdr:colOff>
      <xdr:row>14</xdr:row>
      <xdr:rowOff>70184</xdr:rowOff>
    </xdr:from>
    <xdr:to>
      <xdr:col>6</xdr:col>
      <xdr:colOff>54689</xdr:colOff>
      <xdr:row>15</xdr:row>
      <xdr:rowOff>174377</xdr:rowOff>
    </xdr:to>
    <xdr:pic>
      <xdr:nvPicPr>
        <xdr:cNvPr id="19" name="Graphic 18" descr="Document with solid fill">
          <a:extLst>
            <a:ext uri="{FF2B5EF4-FFF2-40B4-BE49-F238E27FC236}">
              <a16:creationId xmlns:a16="http://schemas.microsoft.com/office/drawing/2014/main" id="{93A99A6E-5A40-4FCF-919D-0B3DE496B8B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584764" y="2737184"/>
          <a:ext cx="517924" cy="294693"/>
        </a:xfrm>
        <a:prstGeom prst="rect">
          <a:avLst/>
        </a:prstGeom>
      </xdr:spPr>
    </xdr:pic>
    <xdr:clientData/>
  </xdr:twoCellAnchor>
  <xdr:oneCellAnchor>
    <xdr:from>
      <xdr:col>6</xdr:col>
      <xdr:colOff>4557</xdr:colOff>
      <xdr:row>14</xdr:row>
      <xdr:rowOff>18028</xdr:rowOff>
    </xdr:from>
    <xdr:ext cx="597021" cy="360772"/>
    <xdr:sp macro="" textlink="'Pivot Tables'!P80">
      <xdr:nvSpPr>
        <xdr:cNvPr id="20" name="TextBox 19">
          <a:extLst>
            <a:ext uri="{FF2B5EF4-FFF2-40B4-BE49-F238E27FC236}">
              <a16:creationId xmlns:a16="http://schemas.microsoft.com/office/drawing/2014/main" id="{CE95C7D0-1A18-4A7B-B372-35DAB2080970}"/>
            </a:ext>
          </a:extLst>
        </xdr:cNvPr>
        <xdr:cNvSpPr txBox="1"/>
      </xdr:nvSpPr>
      <xdr:spPr>
        <a:xfrm>
          <a:off x="3052557" y="2685028"/>
          <a:ext cx="597021" cy="360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DE3C380-76CB-48CE-908D-6E6657B1B5F4}"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100</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413791</xdr:colOff>
      <xdr:row>14</xdr:row>
      <xdr:rowOff>6269</xdr:rowOff>
    </xdr:from>
    <xdr:to>
      <xdr:col>10</xdr:col>
      <xdr:colOff>203565</xdr:colOff>
      <xdr:row>16</xdr:row>
      <xdr:rowOff>22798</xdr:rowOff>
    </xdr:to>
    <xdr:pic>
      <xdr:nvPicPr>
        <xdr:cNvPr id="21" name="Graphic 20" descr="User with solid fill">
          <a:extLst>
            <a:ext uri="{FF2B5EF4-FFF2-40B4-BE49-F238E27FC236}">
              <a16:creationId xmlns:a16="http://schemas.microsoft.com/office/drawing/2014/main" id="{7B91456F-C228-4C3F-882D-D6B52549657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290591" y="2673269"/>
          <a:ext cx="399373" cy="397529"/>
        </a:xfrm>
        <a:prstGeom prst="rect">
          <a:avLst/>
        </a:prstGeom>
        <a:effectLst>
          <a:outerShdw blurRad="50800" dist="38100" dir="5400000" algn="t" rotWithShape="0">
            <a:prstClr val="black">
              <a:alpha val="40000"/>
            </a:prstClr>
          </a:outerShdw>
        </a:effectLst>
      </xdr:spPr>
    </xdr:pic>
    <xdr:clientData/>
  </xdr:twoCellAnchor>
  <xdr:oneCellAnchor>
    <xdr:from>
      <xdr:col>10</xdr:col>
      <xdr:colOff>213362</xdr:colOff>
      <xdr:row>14</xdr:row>
      <xdr:rowOff>24713</xdr:rowOff>
    </xdr:from>
    <xdr:ext cx="441146" cy="387222"/>
    <xdr:sp macro="" textlink="'Pivot Tables'!P81">
      <xdr:nvSpPr>
        <xdr:cNvPr id="22" name="TextBox 21">
          <a:extLst>
            <a:ext uri="{FF2B5EF4-FFF2-40B4-BE49-F238E27FC236}">
              <a16:creationId xmlns:a16="http://schemas.microsoft.com/office/drawing/2014/main" id="{8FAC0088-EDDC-4FE1-85BF-CBD004813CAB}"/>
            </a:ext>
          </a:extLst>
        </xdr:cNvPr>
        <xdr:cNvSpPr txBox="1"/>
      </xdr:nvSpPr>
      <xdr:spPr>
        <a:xfrm>
          <a:off x="5699762" y="2691713"/>
          <a:ext cx="44114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4878C0-0F0A-44B4-B4C5-2044BF0EE2C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17</xdr:col>
      <xdr:colOff>469192</xdr:colOff>
      <xdr:row>14</xdr:row>
      <xdr:rowOff>60158</xdr:rowOff>
    </xdr:from>
    <xdr:to>
      <xdr:col>18</xdr:col>
      <xdr:colOff>392685</xdr:colOff>
      <xdr:row>15</xdr:row>
      <xdr:rowOff>160421</xdr:rowOff>
    </xdr:to>
    <xdr:pic>
      <xdr:nvPicPr>
        <xdr:cNvPr id="23" name="Graphic 22" descr="Checklist with solid fill">
          <a:extLst>
            <a:ext uri="{FF2B5EF4-FFF2-40B4-BE49-F238E27FC236}">
              <a16:creationId xmlns:a16="http://schemas.microsoft.com/office/drawing/2014/main" id="{CE192629-4A09-4C6E-BE9A-0C7B168A4B2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222792" y="2727158"/>
          <a:ext cx="533093" cy="290763"/>
        </a:xfrm>
        <a:prstGeom prst="rect">
          <a:avLst/>
        </a:prstGeom>
      </xdr:spPr>
    </xdr:pic>
    <xdr:clientData/>
  </xdr:twoCellAnchor>
  <xdr:oneCellAnchor>
    <xdr:from>
      <xdr:col>14</xdr:col>
      <xdr:colOff>300992</xdr:colOff>
      <xdr:row>13</xdr:row>
      <xdr:rowOff>170448</xdr:rowOff>
    </xdr:from>
    <xdr:ext cx="441146" cy="387222"/>
    <xdr:sp macro="" textlink="'Pivot Tables'!P82">
      <xdr:nvSpPr>
        <xdr:cNvPr id="24" name="TextBox 23">
          <a:extLst>
            <a:ext uri="{FF2B5EF4-FFF2-40B4-BE49-F238E27FC236}">
              <a16:creationId xmlns:a16="http://schemas.microsoft.com/office/drawing/2014/main" id="{D7861178-1F77-4C99-A271-02715CEAB7EC}"/>
            </a:ext>
          </a:extLst>
        </xdr:cNvPr>
        <xdr:cNvSpPr txBox="1"/>
      </xdr:nvSpPr>
      <xdr:spPr>
        <a:xfrm>
          <a:off x="8225792" y="2646948"/>
          <a:ext cx="441146" cy="38722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none" rtlCol="0" anchor="t">
          <a:spAutoFit/>
        </a:bodyPr>
        <a:lstStyle/>
        <a:p>
          <a:fld id="{78CE2974-7939-432D-BAD2-CC3D455E214F}"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414724</xdr:colOff>
      <xdr:row>6</xdr:row>
      <xdr:rowOff>110288</xdr:rowOff>
    </xdr:from>
    <xdr:to>
      <xdr:col>12</xdr:col>
      <xdr:colOff>401190</xdr:colOff>
      <xdr:row>12</xdr:row>
      <xdr:rowOff>125677</xdr:rowOff>
    </xdr:to>
    <mc:AlternateContent xmlns:mc="http://schemas.openxmlformats.org/markup-compatibility/2006" xmlns:a14="http://schemas.microsoft.com/office/drawing/2010/main">
      <mc:Choice Requires="a14">
        <xdr:graphicFrame macro="">
          <xdr:nvGraphicFramePr>
            <xdr:cNvPr id="26" name="Application Source 3">
              <a:extLst>
                <a:ext uri="{FF2B5EF4-FFF2-40B4-BE49-F238E27FC236}">
                  <a16:creationId xmlns:a16="http://schemas.microsoft.com/office/drawing/2014/main" id="{6E40AF25-A132-4362-985C-02E8A0417343}"/>
                </a:ext>
              </a:extLst>
            </xdr:cNvPr>
            <xdr:cNvGraphicFramePr/>
          </xdr:nvGraphicFramePr>
          <xdr:xfrm>
            <a:off x="0" y="0"/>
            <a:ext cx="0" cy="0"/>
          </xdr:xfrm>
          <a:graphic>
            <a:graphicData uri="http://schemas.microsoft.com/office/drawing/2010/slicer">
              <sle:slicer xmlns:sle="http://schemas.microsoft.com/office/drawing/2010/slicer" name="Application Source 3"/>
            </a:graphicData>
          </a:graphic>
        </xdr:graphicFrame>
      </mc:Choice>
      <mc:Fallback xmlns="">
        <xdr:sp macro="" textlink="">
          <xdr:nvSpPr>
            <xdr:cNvPr id="0" name=""/>
            <xdr:cNvSpPr>
              <a:spLocks noTextEdit="1"/>
            </xdr:cNvSpPr>
          </xdr:nvSpPr>
          <xdr:spPr>
            <a:xfrm>
              <a:off x="5271427" y="1240728"/>
              <a:ext cx="1807729" cy="1145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12597</xdr:colOff>
      <xdr:row>6</xdr:row>
      <xdr:rowOff>116018</xdr:rowOff>
    </xdr:from>
    <xdr:to>
      <xdr:col>20</xdr:col>
      <xdr:colOff>437576</xdr:colOff>
      <xdr:row>12</xdr:row>
      <xdr:rowOff>111005</xdr:rowOff>
    </xdr:to>
    <mc:AlternateContent xmlns:mc="http://schemas.openxmlformats.org/markup-compatibility/2006" xmlns:a14="http://schemas.microsoft.com/office/drawing/2010/main">
      <mc:Choice Requires="a14">
        <xdr:graphicFrame macro="">
          <xdr:nvGraphicFramePr>
            <xdr:cNvPr id="27" name="Status 3">
              <a:extLst>
                <a:ext uri="{FF2B5EF4-FFF2-40B4-BE49-F238E27FC236}">
                  <a16:creationId xmlns:a16="http://schemas.microsoft.com/office/drawing/2014/main" id="{5B1FB383-8254-49EB-A86E-743771F317A3}"/>
                </a:ext>
              </a:extLst>
            </xdr:cNvPr>
            <xdr:cNvGraphicFramePr/>
          </xdr:nvGraphicFramePr>
          <xdr:xfrm>
            <a:off x="0" y="0"/>
            <a:ext cx="0" cy="0"/>
          </xdr:xfrm>
          <a:graphic>
            <a:graphicData uri="http://schemas.microsoft.com/office/drawing/2010/slicer">
              <sle:slicer xmlns:sle="http://schemas.microsoft.com/office/drawing/2010/slicer" name="Status 3"/>
            </a:graphicData>
          </a:graphic>
        </xdr:graphicFrame>
      </mc:Choice>
      <mc:Fallback xmlns="">
        <xdr:sp macro="" textlink="">
          <xdr:nvSpPr>
            <xdr:cNvPr id="0" name=""/>
            <xdr:cNvSpPr>
              <a:spLocks noTextEdit="1"/>
            </xdr:cNvSpPr>
          </xdr:nvSpPr>
          <xdr:spPr>
            <a:xfrm>
              <a:off x="9809740" y="1259018"/>
              <a:ext cx="2261943" cy="11379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87732</xdr:colOff>
      <xdr:row>6</xdr:row>
      <xdr:rowOff>120315</xdr:rowOff>
    </xdr:from>
    <xdr:to>
      <xdr:col>16</xdr:col>
      <xdr:colOff>401053</xdr:colOff>
      <xdr:row>12</xdr:row>
      <xdr:rowOff>100264</xdr:rowOff>
    </xdr:to>
    <mc:AlternateContent xmlns:mc="http://schemas.openxmlformats.org/markup-compatibility/2006" xmlns:a14="http://schemas.microsoft.com/office/drawing/2010/main">
      <mc:Choice Requires="a14">
        <xdr:graphicFrame macro="">
          <xdr:nvGraphicFramePr>
            <xdr:cNvPr id="28" name="Experience 2">
              <a:extLst>
                <a:ext uri="{FF2B5EF4-FFF2-40B4-BE49-F238E27FC236}">
                  <a16:creationId xmlns:a16="http://schemas.microsoft.com/office/drawing/2014/main" id="{84268032-56D9-4EFD-A362-13BC55B2A4A5}"/>
                </a:ext>
              </a:extLst>
            </xdr:cNvPr>
            <xdr:cNvGraphicFramePr/>
          </xdr:nvGraphicFramePr>
          <xdr:xfrm>
            <a:off x="0" y="0"/>
            <a:ext cx="0" cy="0"/>
          </xdr:xfrm>
          <a:graphic>
            <a:graphicData uri="http://schemas.microsoft.com/office/drawing/2010/slicer">
              <sle:slicer xmlns:sle="http://schemas.microsoft.com/office/drawing/2010/slicer" name="Experience 2"/>
            </a:graphicData>
          </a:graphic>
        </xdr:graphicFrame>
      </mc:Choice>
      <mc:Fallback xmlns="">
        <xdr:sp macro="" textlink="">
          <xdr:nvSpPr>
            <xdr:cNvPr id="0" name=""/>
            <xdr:cNvSpPr>
              <a:spLocks noTextEdit="1"/>
            </xdr:cNvSpPr>
          </xdr:nvSpPr>
          <xdr:spPr>
            <a:xfrm>
              <a:off x="7372787" y="1250755"/>
              <a:ext cx="2134584" cy="1110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150393</xdr:colOff>
      <xdr:row>6</xdr:row>
      <xdr:rowOff>100262</xdr:rowOff>
    </xdr:from>
    <xdr:to>
      <xdr:col>9</xdr:col>
      <xdr:colOff>75194</xdr:colOff>
      <xdr:row>12</xdr:row>
      <xdr:rowOff>87730</xdr:rowOff>
    </xdr:to>
    <mc:AlternateContent xmlns:mc="http://schemas.openxmlformats.org/markup-compatibility/2006" xmlns:a14="http://schemas.microsoft.com/office/drawing/2010/main">
      <mc:Choice Requires="a14">
        <xdr:graphicFrame macro="">
          <xdr:nvGraphicFramePr>
            <xdr:cNvPr id="29" name="Role 2">
              <a:extLst>
                <a:ext uri="{FF2B5EF4-FFF2-40B4-BE49-F238E27FC236}">
                  <a16:creationId xmlns:a16="http://schemas.microsoft.com/office/drawing/2014/main" id="{F2074EB7-A88D-4EAA-A731-A4FF1188EF34}"/>
                </a:ext>
              </a:extLst>
            </xdr:cNvPr>
            <xdr:cNvGraphicFramePr/>
          </xdr:nvGraphicFramePr>
          <xdr:xfrm>
            <a:off x="0" y="0"/>
            <a:ext cx="0" cy="0"/>
          </xdr:xfrm>
          <a:graphic>
            <a:graphicData uri="http://schemas.microsoft.com/office/drawing/2010/slicer">
              <sle:slicer xmlns:sle="http://schemas.microsoft.com/office/drawing/2010/slicer" name="Role 2"/>
            </a:graphicData>
          </a:graphic>
        </xdr:graphicFrame>
      </mc:Choice>
      <mc:Fallback xmlns="">
        <xdr:sp macro="" textlink="">
          <xdr:nvSpPr>
            <xdr:cNvPr id="0" name=""/>
            <xdr:cNvSpPr>
              <a:spLocks noTextEdit="1"/>
            </xdr:cNvSpPr>
          </xdr:nvSpPr>
          <xdr:spPr>
            <a:xfrm>
              <a:off x="1971657" y="1230702"/>
              <a:ext cx="2960241" cy="1117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290763</xdr:colOff>
      <xdr:row>13</xdr:row>
      <xdr:rowOff>164833</xdr:rowOff>
    </xdr:from>
    <xdr:to>
      <xdr:col>5</xdr:col>
      <xdr:colOff>10026</xdr:colOff>
      <xdr:row>16</xdr:row>
      <xdr:rowOff>1</xdr:rowOff>
    </xdr:to>
    <xdr:sp macro="" textlink="">
      <xdr:nvSpPr>
        <xdr:cNvPr id="30" name="Arrow: Right 29">
          <a:extLst>
            <a:ext uri="{FF2B5EF4-FFF2-40B4-BE49-F238E27FC236}">
              <a16:creationId xmlns:a16="http://schemas.microsoft.com/office/drawing/2014/main" id="{47957C1C-2C0E-46A6-96B2-6C2E0662849B}"/>
            </a:ext>
          </a:extLst>
        </xdr:cNvPr>
        <xdr:cNvSpPr/>
      </xdr:nvSpPr>
      <xdr:spPr>
        <a:xfrm>
          <a:off x="2119563" y="26413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290764</xdr:colOff>
      <xdr:row>17</xdr:row>
      <xdr:rowOff>4412</xdr:rowOff>
    </xdr:from>
    <xdr:to>
      <xdr:col>5</xdr:col>
      <xdr:colOff>10027</xdr:colOff>
      <xdr:row>19</xdr:row>
      <xdr:rowOff>30080</xdr:rowOff>
    </xdr:to>
    <xdr:sp macro="" textlink="">
      <xdr:nvSpPr>
        <xdr:cNvPr id="31" name="Arrow: Right 30">
          <a:extLst>
            <a:ext uri="{FF2B5EF4-FFF2-40B4-BE49-F238E27FC236}">
              <a16:creationId xmlns:a16="http://schemas.microsoft.com/office/drawing/2014/main" id="{C8532C96-A24E-4F3D-9646-37A12A7A22E8}"/>
            </a:ext>
          </a:extLst>
        </xdr:cNvPr>
        <xdr:cNvSpPr/>
      </xdr:nvSpPr>
      <xdr:spPr>
        <a:xfrm>
          <a:off x="2119564" y="3242912"/>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270710</xdr:colOff>
      <xdr:row>13</xdr:row>
      <xdr:rowOff>124728</xdr:rowOff>
    </xdr:from>
    <xdr:to>
      <xdr:col>8</xdr:col>
      <xdr:colOff>601578</xdr:colOff>
      <xdr:row>15</xdr:row>
      <xdr:rowOff>150396</xdr:rowOff>
    </xdr:to>
    <xdr:sp macro="" textlink="">
      <xdr:nvSpPr>
        <xdr:cNvPr id="32" name="Arrow: Right 31">
          <a:extLst>
            <a:ext uri="{FF2B5EF4-FFF2-40B4-BE49-F238E27FC236}">
              <a16:creationId xmlns:a16="http://schemas.microsoft.com/office/drawing/2014/main" id="{729B6845-8F53-4928-BFA7-9A09CEDE2912}"/>
            </a:ext>
          </a:extLst>
        </xdr:cNvPr>
        <xdr:cNvSpPr/>
      </xdr:nvSpPr>
      <xdr:spPr>
        <a:xfrm>
          <a:off x="4537910" y="260122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250657</xdr:colOff>
      <xdr:row>17</xdr:row>
      <xdr:rowOff>24465</xdr:rowOff>
    </xdr:from>
    <xdr:to>
      <xdr:col>8</xdr:col>
      <xdr:colOff>581525</xdr:colOff>
      <xdr:row>19</xdr:row>
      <xdr:rowOff>50133</xdr:rowOff>
    </xdr:to>
    <xdr:sp macro="" textlink="">
      <xdr:nvSpPr>
        <xdr:cNvPr id="33" name="Arrow: Right 32">
          <a:extLst>
            <a:ext uri="{FF2B5EF4-FFF2-40B4-BE49-F238E27FC236}">
              <a16:creationId xmlns:a16="http://schemas.microsoft.com/office/drawing/2014/main" id="{C5D0C3DA-DE20-407D-84AD-29A7ABAAD147}"/>
            </a:ext>
          </a:extLst>
        </xdr:cNvPr>
        <xdr:cNvSpPr/>
      </xdr:nvSpPr>
      <xdr:spPr>
        <a:xfrm>
          <a:off x="4517857" y="3262965"/>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370975</xdr:colOff>
      <xdr:row>13</xdr:row>
      <xdr:rowOff>124728</xdr:rowOff>
    </xdr:from>
    <xdr:to>
      <xdr:col>13</xdr:col>
      <xdr:colOff>90238</xdr:colOff>
      <xdr:row>15</xdr:row>
      <xdr:rowOff>150396</xdr:rowOff>
    </xdr:to>
    <xdr:sp macro="" textlink="">
      <xdr:nvSpPr>
        <xdr:cNvPr id="34" name="Arrow: Right 33">
          <a:extLst>
            <a:ext uri="{FF2B5EF4-FFF2-40B4-BE49-F238E27FC236}">
              <a16:creationId xmlns:a16="http://schemas.microsoft.com/office/drawing/2014/main" id="{D8E7015C-75C5-433A-A2C8-97CA0C3355E0}"/>
            </a:ext>
          </a:extLst>
        </xdr:cNvPr>
        <xdr:cNvSpPr/>
      </xdr:nvSpPr>
      <xdr:spPr>
        <a:xfrm>
          <a:off x="7076575" y="260122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360948</xdr:colOff>
      <xdr:row>17</xdr:row>
      <xdr:rowOff>14438</xdr:rowOff>
    </xdr:from>
    <xdr:to>
      <xdr:col>13</xdr:col>
      <xdr:colOff>80211</xdr:colOff>
      <xdr:row>19</xdr:row>
      <xdr:rowOff>40106</xdr:rowOff>
    </xdr:to>
    <xdr:sp macro="" textlink="">
      <xdr:nvSpPr>
        <xdr:cNvPr id="35" name="Arrow: Right 34">
          <a:extLst>
            <a:ext uri="{FF2B5EF4-FFF2-40B4-BE49-F238E27FC236}">
              <a16:creationId xmlns:a16="http://schemas.microsoft.com/office/drawing/2014/main" id="{794B03A2-C487-4ACA-8E94-1D298D4C59B8}"/>
            </a:ext>
          </a:extLst>
        </xdr:cNvPr>
        <xdr:cNvSpPr/>
      </xdr:nvSpPr>
      <xdr:spPr>
        <a:xfrm>
          <a:off x="7066548" y="325293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13</xdr:row>
      <xdr:rowOff>134755</xdr:rowOff>
    </xdr:from>
    <xdr:to>
      <xdr:col>17</xdr:col>
      <xdr:colOff>250659</xdr:colOff>
      <xdr:row>15</xdr:row>
      <xdr:rowOff>160423</xdr:rowOff>
    </xdr:to>
    <xdr:sp macro="" textlink="">
      <xdr:nvSpPr>
        <xdr:cNvPr id="36" name="Arrow: Right 35">
          <a:extLst>
            <a:ext uri="{FF2B5EF4-FFF2-40B4-BE49-F238E27FC236}">
              <a16:creationId xmlns:a16="http://schemas.microsoft.com/office/drawing/2014/main" id="{0C8DE185-A405-45D2-A481-3A7130FB119A}"/>
            </a:ext>
          </a:extLst>
        </xdr:cNvPr>
        <xdr:cNvSpPr/>
      </xdr:nvSpPr>
      <xdr:spPr>
        <a:xfrm>
          <a:off x="9675396" y="2611255"/>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16</xdr:row>
      <xdr:rowOff>164833</xdr:rowOff>
    </xdr:from>
    <xdr:to>
      <xdr:col>17</xdr:col>
      <xdr:colOff>250659</xdr:colOff>
      <xdr:row>19</xdr:row>
      <xdr:rowOff>1</xdr:rowOff>
    </xdr:to>
    <xdr:sp macro="" textlink="">
      <xdr:nvSpPr>
        <xdr:cNvPr id="37" name="Arrow: Right 36">
          <a:extLst>
            <a:ext uri="{FF2B5EF4-FFF2-40B4-BE49-F238E27FC236}">
              <a16:creationId xmlns:a16="http://schemas.microsoft.com/office/drawing/2014/main" id="{43446AD5-2885-433F-AC2D-C3F9DB8CA8C6}"/>
            </a:ext>
          </a:extLst>
        </xdr:cNvPr>
        <xdr:cNvSpPr/>
      </xdr:nvSpPr>
      <xdr:spPr>
        <a:xfrm>
          <a:off x="9675396" y="32128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370974</xdr:colOff>
      <xdr:row>13</xdr:row>
      <xdr:rowOff>160421</xdr:rowOff>
    </xdr:from>
    <xdr:ext cx="962526" cy="387222"/>
    <xdr:sp macro="" textlink="">
      <xdr:nvSpPr>
        <xdr:cNvPr id="38" name="TextBox 37">
          <a:extLst>
            <a:ext uri="{FF2B5EF4-FFF2-40B4-BE49-F238E27FC236}">
              <a16:creationId xmlns:a16="http://schemas.microsoft.com/office/drawing/2014/main" id="{C6F89E34-7EDE-4AA2-8B5F-6911974BD667}"/>
            </a:ext>
          </a:extLst>
        </xdr:cNvPr>
        <xdr:cNvSpPr txBox="1"/>
      </xdr:nvSpPr>
      <xdr:spPr>
        <a:xfrm>
          <a:off x="10734174" y="2636921"/>
          <a:ext cx="96252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28%</a:t>
          </a:r>
        </a:p>
      </xdr:txBody>
    </xdr:sp>
    <xdr:clientData/>
  </xdr:oneCellAnchor>
  <xdr:twoCellAnchor editAs="oneCell">
    <xdr:from>
      <xdr:col>13</xdr:col>
      <xdr:colOff>340894</xdr:colOff>
      <xdr:row>14</xdr:row>
      <xdr:rowOff>30079</xdr:rowOff>
    </xdr:from>
    <xdr:to>
      <xdr:col>14</xdr:col>
      <xdr:colOff>330869</xdr:colOff>
      <xdr:row>16</xdr:row>
      <xdr:rowOff>10027</xdr:rowOff>
    </xdr:to>
    <xdr:pic>
      <xdr:nvPicPr>
        <xdr:cNvPr id="39" name="Graphic 38" descr="Envelope with solid fill">
          <a:extLst>
            <a:ext uri="{FF2B5EF4-FFF2-40B4-BE49-F238E27FC236}">
              <a16:creationId xmlns:a16="http://schemas.microsoft.com/office/drawing/2014/main" id="{F0530100-F5CC-4983-B017-4B2981D35E4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56094" y="2697079"/>
          <a:ext cx="599574" cy="360948"/>
        </a:xfrm>
        <a:prstGeom prst="rect">
          <a:avLst/>
        </a:prstGeom>
      </xdr:spPr>
    </xdr:pic>
    <xdr:clientData/>
  </xdr:twoCellAnchor>
  <xdr:oneCellAnchor>
    <xdr:from>
      <xdr:col>9</xdr:col>
      <xdr:colOff>531394</xdr:colOff>
      <xdr:row>17</xdr:row>
      <xdr:rowOff>80211</xdr:rowOff>
    </xdr:from>
    <xdr:ext cx="1210588" cy="387222"/>
    <xdr:sp macro="" textlink="'Pivot Tables'!D34">
      <xdr:nvSpPr>
        <xdr:cNvPr id="40" name="TextBox 39">
          <a:extLst>
            <a:ext uri="{FF2B5EF4-FFF2-40B4-BE49-F238E27FC236}">
              <a16:creationId xmlns:a16="http://schemas.microsoft.com/office/drawing/2014/main" id="{82DE68CD-17BC-4A15-B98A-CCA9F180512E}"/>
            </a:ext>
          </a:extLst>
        </xdr:cNvPr>
        <xdr:cNvSpPr txBox="1"/>
      </xdr:nvSpPr>
      <xdr:spPr>
        <a:xfrm>
          <a:off x="5408194" y="3318711"/>
          <a:ext cx="121058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3904FF-6C83-4180-9BE7-2580B31D2683}"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16,98,104</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14</xdr:col>
      <xdr:colOff>591553</xdr:colOff>
      <xdr:row>17</xdr:row>
      <xdr:rowOff>130341</xdr:rowOff>
    </xdr:from>
    <xdr:ext cx="902811" cy="298800"/>
    <xdr:sp macro="" textlink="'Pivot Tables'!D35">
      <xdr:nvSpPr>
        <xdr:cNvPr id="41" name="TextBox 40">
          <a:extLst>
            <a:ext uri="{FF2B5EF4-FFF2-40B4-BE49-F238E27FC236}">
              <a16:creationId xmlns:a16="http://schemas.microsoft.com/office/drawing/2014/main" id="{8895F7AA-0F3D-4504-B923-885E7C072E47}"/>
            </a:ext>
          </a:extLst>
        </xdr:cNvPr>
        <xdr:cNvSpPr txBox="1"/>
      </xdr:nvSpPr>
      <xdr:spPr>
        <a:xfrm>
          <a:off x="8516353" y="3368841"/>
          <a:ext cx="90281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AADADA-FD65-48EC-9726-19193AEBF907}" type="TxLink">
            <a:rPr lang="en-US" sz="1400" b="1" i="0" u="none" strike="noStrike">
              <a:solidFill>
                <a:schemeClr val="tx1"/>
              </a:solidFill>
              <a:latin typeface="Times New Roman" panose="02020603050405020304" pitchFamily="18" charset="0"/>
              <a:ea typeface="Calibri"/>
              <a:cs typeface="Times New Roman" panose="02020603050405020304" pitchFamily="18" charset="0"/>
            </a:rPr>
            <a:pPr/>
            <a:t>27,46,588</a:t>
          </a:fld>
          <a:endParaRPr lang="en-IN" sz="12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260685</xdr:colOff>
      <xdr:row>17</xdr:row>
      <xdr:rowOff>130342</xdr:rowOff>
    </xdr:from>
    <xdr:ext cx="813043" cy="298800"/>
    <xdr:sp macro="" textlink="'Pivot Tables'!D36">
      <xdr:nvSpPr>
        <xdr:cNvPr id="42" name="TextBox 41">
          <a:extLst>
            <a:ext uri="{FF2B5EF4-FFF2-40B4-BE49-F238E27FC236}">
              <a16:creationId xmlns:a16="http://schemas.microsoft.com/office/drawing/2014/main" id="{BA11BB36-2778-4248-9E59-BB257CD832AE}"/>
            </a:ext>
          </a:extLst>
        </xdr:cNvPr>
        <xdr:cNvSpPr txBox="1"/>
      </xdr:nvSpPr>
      <xdr:spPr>
        <a:xfrm>
          <a:off x="7575885" y="3368842"/>
          <a:ext cx="81304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C96E4FC-AF95-4AA3-B028-AED144B50190}"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3,58,017</a:t>
          </a:fld>
          <a:endParaRPr lang="en-IN" sz="1400" b="1">
            <a:latin typeface="Times New Roman" panose="02020603050405020304" pitchFamily="18" charset="0"/>
            <a:cs typeface="Times New Roman" panose="02020603050405020304" pitchFamily="18" charset="0"/>
          </a:endParaRPr>
        </a:p>
      </xdr:txBody>
    </xdr:sp>
    <xdr:clientData/>
  </xdr:oneCellAnchor>
  <xdr:oneCellAnchor>
    <xdr:from>
      <xdr:col>14</xdr:col>
      <xdr:colOff>370973</xdr:colOff>
      <xdr:row>17</xdr:row>
      <xdr:rowOff>140367</xdr:rowOff>
    </xdr:from>
    <xdr:ext cx="300789" cy="311496"/>
    <xdr:sp macro="" textlink="">
      <xdr:nvSpPr>
        <xdr:cNvPr id="43" name="TextBox 42">
          <a:extLst>
            <a:ext uri="{FF2B5EF4-FFF2-40B4-BE49-F238E27FC236}">
              <a16:creationId xmlns:a16="http://schemas.microsoft.com/office/drawing/2014/main" id="{342EF254-1D20-4380-AF85-3B0A62BD8DF4}"/>
            </a:ext>
          </a:extLst>
        </xdr:cNvPr>
        <xdr:cNvSpPr txBox="1"/>
      </xdr:nvSpPr>
      <xdr:spPr>
        <a:xfrm>
          <a:off x="8295773" y="3378867"/>
          <a:ext cx="3007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&amp;</a:t>
          </a:r>
        </a:p>
      </xdr:txBody>
    </xdr:sp>
    <xdr:clientData/>
  </xdr:oneCellAnchor>
  <xdr:twoCellAnchor editAs="oneCell">
    <xdr:from>
      <xdr:col>9</xdr:col>
      <xdr:colOff>190502</xdr:colOff>
      <xdr:row>17</xdr:row>
      <xdr:rowOff>90237</xdr:rowOff>
    </xdr:from>
    <xdr:to>
      <xdr:col>10</xdr:col>
      <xdr:colOff>3</xdr:colOff>
      <xdr:row>19</xdr:row>
      <xdr:rowOff>130342</xdr:rowOff>
    </xdr:to>
    <xdr:pic>
      <xdr:nvPicPr>
        <xdr:cNvPr id="44" name="Graphic 43" descr="Coins with solid fill">
          <a:extLst>
            <a:ext uri="{FF2B5EF4-FFF2-40B4-BE49-F238E27FC236}">
              <a16:creationId xmlns:a16="http://schemas.microsoft.com/office/drawing/2014/main" id="{3476BB57-A634-445B-9EAF-D53F8FD898D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067302" y="3328737"/>
          <a:ext cx="419100" cy="421105"/>
        </a:xfrm>
        <a:prstGeom prst="rect">
          <a:avLst/>
        </a:prstGeom>
      </xdr:spPr>
    </xdr:pic>
    <xdr:clientData/>
  </xdr:twoCellAnchor>
  <xdr:oneCellAnchor>
    <xdr:from>
      <xdr:col>18</xdr:col>
      <xdr:colOff>360948</xdr:colOff>
      <xdr:row>17</xdr:row>
      <xdr:rowOff>80210</xdr:rowOff>
    </xdr:from>
    <xdr:ext cx="505267" cy="387222"/>
    <xdr:sp macro="" textlink="">
      <xdr:nvSpPr>
        <xdr:cNvPr id="45" name="TextBox 44">
          <a:extLst>
            <a:ext uri="{FF2B5EF4-FFF2-40B4-BE49-F238E27FC236}">
              <a16:creationId xmlns:a16="http://schemas.microsoft.com/office/drawing/2014/main" id="{BD17DB69-7E0B-41D6-9101-83C31B172901}"/>
            </a:ext>
          </a:extLst>
        </xdr:cNvPr>
        <xdr:cNvSpPr txBox="1"/>
      </xdr:nvSpPr>
      <xdr:spPr>
        <a:xfrm>
          <a:off x="10724148" y="3318710"/>
          <a:ext cx="50526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3.6</a:t>
          </a:r>
        </a:p>
      </xdr:txBody>
    </xdr:sp>
    <xdr:clientData/>
  </xdr:oneCellAnchor>
  <xdr:twoCellAnchor editAs="oneCell">
    <xdr:from>
      <xdr:col>17</xdr:col>
      <xdr:colOff>531396</xdr:colOff>
      <xdr:row>17</xdr:row>
      <xdr:rowOff>110290</xdr:rowOff>
    </xdr:from>
    <xdr:to>
      <xdr:col>18</xdr:col>
      <xdr:colOff>290764</xdr:colOff>
      <xdr:row>19</xdr:row>
      <xdr:rowOff>100263</xdr:rowOff>
    </xdr:to>
    <xdr:pic>
      <xdr:nvPicPr>
        <xdr:cNvPr id="46" name="Graphic 45" descr="Briefcase with solid fill">
          <a:extLst>
            <a:ext uri="{FF2B5EF4-FFF2-40B4-BE49-F238E27FC236}">
              <a16:creationId xmlns:a16="http://schemas.microsoft.com/office/drawing/2014/main" id="{3B911A61-8A43-411E-9E28-0CB7AA3EDF2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284996" y="3348790"/>
          <a:ext cx="368968" cy="370973"/>
        </a:xfrm>
        <a:prstGeom prst="rect">
          <a:avLst/>
        </a:prstGeom>
      </xdr:spPr>
    </xdr:pic>
    <xdr:clientData/>
  </xdr:twoCellAnchor>
  <xdr:oneCellAnchor>
    <xdr:from>
      <xdr:col>5</xdr:col>
      <xdr:colOff>100263</xdr:colOff>
      <xdr:row>13</xdr:row>
      <xdr:rowOff>0</xdr:rowOff>
    </xdr:from>
    <xdr:ext cx="1579535" cy="250657"/>
    <xdr:sp macro="" textlink="">
      <xdr:nvSpPr>
        <xdr:cNvPr id="47" name="TextBox 46">
          <a:extLst>
            <a:ext uri="{FF2B5EF4-FFF2-40B4-BE49-F238E27FC236}">
              <a16:creationId xmlns:a16="http://schemas.microsoft.com/office/drawing/2014/main" id="{5468C9F0-AC78-457F-87FA-373F887B9103}"/>
            </a:ext>
          </a:extLst>
        </xdr:cNvPr>
        <xdr:cNvSpPr txBox="1"/>
      </xdr:nvSpPr>
      <xdr:spPr>
        <a:xfrm>
          <a:off x="2538663" y="2476500"/>
          <a:ext cx="1579535" cy="25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Applications:</a:t>
          </a:r>
          <a:endParaRPr lang="en-IN" sz="1400" b="1">
            <a:solidFill>
              <a:schemeClr val="tx1"/>
            </a:solidFill>
            <a:effectLst/>
          </a:endParaRPr>
        </a:p>
        <a:p>
          <a:endParaRPr lang="en-IN" sz="1100"/>
        </a:p>
      </xdr:txBody>
    </xdr:sp>
    <xdr:clientData/>
  </xdr:oneCellAnchor>
  <xdr:oneCellAnchor>
    <xdr:from>
      <xdr:col>9</xdr:col>
      <xdr:colOff>142279</xdr:colOff>
      <xdr:row>13</xdr:row>
      <xdr:rowOff>47722</xdr:rowOff>
    </xdr:from>
    <xdr:ext cx="184731" cy="264560"/>
    <xdr:sp macro="" textlink="">
      <xdr:nvSpPr>
        <xdr:cNvPr id="48" name="TextBox 47">
          <a:extLst>
            <a:ext uri="{FF2B5EF4-FFF2-40B4-BE49-F238E27FC236}">
              <a16:creationId xmlns:a16="http://schemas.microsoft.com/office/drawing/2014/main" id="{03786203-E509-4F5A-82CE-C5ADF768C7BB}"/>
            </a:ext>
          </a:extLst>
        </xdr:cNvPr>
        <xdr:cNvSpPr txBox="1"/>
      </xdr:nvSpPr>
      <xdr:spPr>
        <a:xfrm>
          <a:off x="5019079" y="2524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164337</xdr:colOff>
      <xdr:row>12</xdr:row>
      <xdr:rowOff>190096</xdr:rowOff>
    </xdr:from>
    <xdr:ext cx="1048847" cy="311496"/>
    <xdr:sp macro="" textlink="">
      <xdr:nvSpPr>
        <xdr:cNvPr id="49" name="TextBox 48">
          <a:extLst>
            <a:ext uri="{FF2B5EF4-FFF2-40B4-BE49-F238E27FC236}">
              <a16:creationId xmlns:a16="http://schemas.microsoft.com/office/drawing/2014/main" id="{7A13DE82-6E45-47C9-B4C8-85B6C7DC8F26}"/>
            </a:ext>
          </a:extLst>
        </xdr:cNvPr>
        <xdr:cNvSpPr txBox="1"/>
      </xdr:nvSpPr>
      <xdr:spPr>
        <a:xfrm>
          <a:off x="5041137" y="2476096"/>
          <a:ext cx="10488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Interviews:</a:t>
          </a:r>
        </a:p>
      </xdr:txBody>
    </xdr:sp>
    <xdr:clientData/>
  </xdr:oneCellAnchor>
  <xdr:oneCellAnchor>
    <xdr:from>
      <xdr:col>13</xdr:col>
      <xdr:colOff>320842</xdr:colOff>
      <xdr:row>12</xdr:row>
      <xdr:rowOff>190499</xdr:rowOff>
    </xdr:from>
    <xdr:ext cx="731921" cy="310817"/>
    <xdr:sp macro="" textlink="">
      <xdr:nvSpPr>
        <xdr:cNvPr id="50" name="TextBox 49">
          <a:extLst>
            <a:ext uri="{FF2B5EF4-FFF2-40B4-BE49-F238E27FC236}">
              <a16:creationId xmlns:a16="http://schemas.microsoft.com/office/drawing/2014/main" id="{8E31A887-2B68-4997-A293-A19D6EE3764B}"/>
            </a:ext>
          </a:extLst>
        </xdr:cNvPr>
        <xdr:cNvSpPr txBox="1"/>
      </xdr:nvSpPr>
      <xdr:spPr>
        <a:xfrm>
          <a:off x="7636042" y="2476499"/>
          <a:ext cx="731921" cy="310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Offers:</a:t>
          </a:r>
          <a:endParaRPr lang="en-IN" sz="1400" b="1">
            <a:solidFill>
              <a:schemeClr val="tx1"/>
            </a:solidFill>
            <a:effectLst/>
          </a:endParaRPr>
        </a:p>
        <a:p>
          <a:endParaRPr lang="en-IN" sz="1100"/>
        </a:p>
      </xdr:txBody>
    </xdr:sp>
    <xdr:clientData/>
  </xdr:oneCellAnchor>
  <xdr:oneCellAnchor>
    <xdr:from>
      <xdr:col>17</xdr:col>
      <xdr:colOff>431133</xdr:colOff>
      <xdr:row>13</xdr:row>
      <xdr:rowOff>0</xdr:rowOff>
    </xdr:from>
    <xdr:ext cx="1534026" cy="310816"/>
    <xdr:sp macro="" textlink="">
      <xdr:nvSpPr>
        <xdr:cNvPr id="51" name="TextBox 50">
          <a:extLst>
            <a:ext uri="{FF2B5EF4-FFF2-40B4-BE49-F238E27FC236}">
              <a16:creationId xmlns:a16="http://schemas.microsoft.com/office/drawing/2014/main" id="{94A3341F-062E-4A4F-9586-7A29019FA6BB}"/>
            </a:ext>
          </a:extLst>
        </xdr:cNvPr>
        <xdr:cNvSpPr txBox="1"/>
      </xdr:nvSpPr>
      <xdr:spPr>
        <a:xfrm>
          <a:off x="10184733" y="2476500"/>
          <a:ext cx="1534026" cy="310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Times New Roman" panose="02020603050405020304" pitchFamily="18" charset="0"/>
            </a:rPr>
            <a:t>Acceptance Rate:</a:t>
          </a:r>
          <a:endParaRPr lang="en-IN" sz="1400" b="1">
            <a:effectLst/>
            <a:latin typeface="+mn-lt"/>
            <a:cs typeface="Times New Roman" panose="02020603050405020304" pitchFamily="18" charset="0"/>
          </a:endParaRPr>
        </a:p>
        <a:p>
          <a:endParaRPr lang="en-IN" sz="1100"/>
        </a:p>
      </xdr:txBody>
    </xdr:sp>
    <xdr:clientData/>
  </xdr:oneCellAnchor>
  <xdr:oneCellAnchor>
    <xdr:from>
      <xdr:col>5</xdr:col>
      <xdr:colOff>100264</xdr:colOff>
      <xdr:row>16</xdr:row>
      <xdr:rowOff>90237</xdr:rowOff>
    </xdr:from>
    <xdr:ext cx="1319207" cy="370974"/>
    <xdr:sp macro="" textlink="">
      <xdr:nvSpPr>
        <xdr:cNvPr id="52" name="TextBox 51">
          <a:extLst>
            <a:ext uri="{FF2B5EF4-FFF2-40B4-BE49-F238E27FC236}">
              <a16:creationId xmlns:a16="http://schemas.microsoft.com/office/drawing/2014/main" id="{57286CF4-30B7-41A1-B319-20505EDE1E93}"/>
            </a:ext>
          </a:extLst>
        </xdr:cNvPr>
        <xdr:cNvSpPr txBox="1"/>
      </xdr:nvSpPr>
      <xdr:spPr>
        <a:xfrm>
          <a:off x="2538664" y="3138237"/>
          <a:ext cx="1319207" cy="370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Rejection Rate:</a:t>
          </a:r>
          <a:endParaRPr lang="en-IN">
            <a:effectLst/>
          </a:endParaRPr>
        </a:p>
      </xdr:txBody>
    </xdr:sp>
    <xdr:clientData/>
  </xdr:oneCellAnchor>
  <xdr:oneCellAnchor>
    <xdr:from>
      <xdr:col>9</xdr:col>
      <xdr:colOff>90236</xdr:colOff>
      <xdr:row>16</xdr:row>
      <xdr:rowOff>70183</xdr:rowOff>
    </xdr:from>
    <xdr:ext cx="1112921" cy="350922"/>
    <xdr:sp macro="" textlink="">
      <xdr:nvSpPr>
        <xdr:cNvPr id="53" name="TextBox 52">
          <a:extLst>
            <a:ext uri="{FF2B5EF4-FFF2-40B4-BE49-F238E27FC236}">
              <a16:creationId xmlns:a16="http://schemas.microsoft.com/office/drawing/2014/main" id="{1B3CFA65-E14B-442C-82D8-D536BDD3BD59}"/>
            </a:ext>
          </a:extLst>
        </xdr:cNvPr>
        <xdr:cNvSpPr txBox="1"/>
      </xdr:nvSpPr>
      <xdr:spPr>
        <a:xfrm>
          <a:off x="4967036" y="3118183"/>
          <a:ext cx="1112921" cy="350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Salary:</a:t>
          </a:r>
          <a:endParaRPr lang="en-IN" sz="1400">
            <a:effectLst/>
          </a:endParaRPr>
        </a:p>
        <a:p>
          <a:endParaRPr lang="en-IN" sz="1100"/>
        </a:p>
      </xdr:txBody>
    </xdr:sp>
    <xdr:clientData/>
  </xdr:oneCellAnchor>
  <xdr:oneCellAnchor>
    <xdr:from>
      <xdr:col>21</xdr:col>
      <xdr:colOff>471237</xdr:colOff>
      <xdr:row>14</xdr:row>
      <xdr:rowOff>60158</xdr:rowOff>
    </xdr:from>
    <xdr:ext cx="184731" cy="264560"/>
    <xdr:sp macro="" textlink="">
      <xdr:nvSpPr>
        <xdr:cNvPr id="54" name="TextBox 53">
          <a:extLst>
            <a:ext uri="{FF2B5EF4-FFF2-40B4-BE49-F238E27FC236}">
              <a16:creationId xmlns:a16="http://schemas.microsoft.com/office/drawing/2014/main" id="{D6D47395-28A0-4338-BA06-346B0A9402C6}"/>
            </a:ext>
          </a:extLst>
        </xdr:cNvPr>
        <xdr:cNvSpPr txBox="1"/>
      </xdr:nvSpPr>
      <xdr:spPr>
        <a:xfrm>
          <a:off x="12663237" y="27271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13</xdr:col>
      <xdr:colOff>220579</xdr:colOff>
      <xdr:row>16</xdr:row>
      <xdr:rowOff>80210</xdr:rowOff>
    </xdr:from>
    <xdr:to>
      <xdr:col>15</xdr:col>
      <xdr:colOff>576369</xdr:colOff>
      <xdr:row>18</xdr:row>
      <xdr:rowOff>83291</xdr:rowOff>
    </xdr:to>
    <xdr:pic>
      <xdr:nvPicPr>
        <xdr:cNvPr id="55" name="Picture 54">
          <a:extLst>
            <a:ext uri="{FF2B5EF4-FFF2-40B4-BE49-F238E27FC236}">
              <a16:creationId xmlns:a16="http://schemas.microsoft.com/office/drawing/2014/main" id="{64529028-A30B-4A66-B9B0-5F46FBBB23EE}"/>
            </a:ext>
          </a:extLst>
        </xdr:cNvPr>
        <xdr:cNvPicPr>
          <a:picLocks noChangeAspect="1"/>
        </xdr:cNvPicPr>
      </xdr:nvPicPr>
      <xdr:blipFill>
        <a:blip xmlns:r="http://schemas.openxmlformats.org/officeDocument/2006/relationships" r:embed="rId16"/>
        <a:stretch>
          <a:fillRect/>
        </a:stretch>
      </xdr:blipFill>
      <xdr:spPr>
        <a:xfrm>
          <a:off x="7535779" y="3128210"/>
          <a:ext cx="1574990" cy="384081"/>
        </a:xfrm>
        <a:prstGeom prst="rect">
          <a:avLst/>
        </a:prstGeom>
      </xdr:spPr>
    </xdr:pic>
    <xdr:clientData/>
  </xdr:twoCellAnchor>
  <xdr:oneCellAnchor>
    <xdr:from>
      <xdr:col>17</xdr:col>
      <xdr:colOff>461211</xdr:colOff>
      <xdr:row>16</xdr:row>
      <xdr:rowOff>70184</xdr:rowOff>
    </xdr:from>
    <xdr:ext cx="1370824" cy="340895"/>
    <xdr:sp macro="" textlink="">
      <xdr:nvSpPr>
        <xdr:cNvPr id="56" name="TextBox 55">
          <a:extLst>
            <a:ext uri="{FF2B5EF4-FFF2-40B4-BE49-F238E27FC236}">
              <a16:creationId xmlns:a16="http://schemas.microsoft.com/office/drawing/2014/main" id="{DE7BB749-BF19-4DD4-BFDD-F5C28A0FADBA}"/>
            </a:ext>
          </a:extLst>
        </xdr:cNvPr>
        <xdr:cNvSpPr txBox="1"/>
      </xdr:nvSpPr>
      <xdr:spPr>
        <a:xfrm>
          <a:off x="10214811" y="3118184"/>
          <a:ext cx="1370824" cy="340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Experience:</a:t>
          </a:r>
          <a:endParaRPr lang="en-IN" sz="1400">
            <a:effectLst/>
          </a:endParaRPr>
        </a:p>
        <a:p>
          <a:endParaRPr lang="en-IN" sz="1100"/>
        </a:p>
      </xdr:txBody>
    </xdr:sp>
    <xdr:clientData/>
  </xdr:oneCellAnchor>
  <xdr:twoCellAnchor>
    <xdr:from>
      <xdr:col>1</xdr:col>
      <xdr:colOff>280737</xdr:colOff>
      <xdr:row>11</xdr:row>
      <xdr:rowOff>60158</xdr:rowOff>
    </xdr:from>
    <xdr:to>
      <xdr:col>3</xdr:col>
      <xdr:colOff>391026</xdr:colOff>
      <xdr:row>13</xdr:row>
      <xdr:rowOff>70184</xdr:rowOff>
    </xdr:to>
    <xdr:sp macro="" textlink="">
      <xdr:nvSpPr>
        <xdr:cNvPr id="57" name="Rectangle: Rounded Corners 56">
          <a:hlinkClick xmlns:r="http://schemas.openxmlformats.org/officeDocument/2006/relationships" r:id="rId17"/>
          <a:extLst>
            <a:ext uri="{FF2B5EF4-FFF2-40B4-BE49-F238E27FC236}">
              <a16:creationId xmlns:a16="http://schemas.microsoft.com/office/drawing/2014/main" id="{CB09306A-7A41-4A3F-8548-DB7B3C0C7469}"/>
            </a:ext>
          </a:extLst>
        </xdr:cNvPr>
        <xdr:cNvSpPr/>
      </xdr:nvSpPr>
      <xdr:spPr>
        <a:xfrm>
          <a:off x="280737" y="2155658"/>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Dashboard</a:t>
          </a:r>
          <a:r>
            <a:rPr lang="en-IN"/>
            <a:t> </a:t>
          </a:r>
          <a:endParaRPr lang="en-IN" sz="1100"/>
        </a:p>
      </xdr:txBody>
    </xdr:sp>
    <xdr:clientData/>
  </xdr:twoCellAnchor>
  <xdr:twoCellAnchor>
    <xdr:from>
      <xdr:col>1</xdr:col>
      <xdr:colOff>280737</xdr:colOff>
      <xdr:row>14</xdr:row>
      <xdr:rowOff>80211</xdr:rowOff>
    </xdr:from>
    <xdr:to>
      <xdr:col>3</xdr:col>
      <xdr:colOff>391026</xdr:colOff>
      <xdr:row>16</xdr:row>
      <xdr:rowOff>90237</xdr:rowOff>
    </xdr:to>
    <xdr:sp macro="" textlink="">
      <xdr:nvSpPr>
        <xdr:cNvPr id="58" name="Rectangle: Rounded Corners 57">
          <a:hlinkClick xmlns:r="http://schemas.openxmlformats.org/officeDocument/2006/relationships" r:id="rId18"/>
          <a:extLst>
            <a:ext uri="{FF2B5EF4-FFF2-40B4-BE49-F238E27FC236}">
              <a16:creationId xmlns:a16="http://schemas.microsoft.com/office/drawing/2014/main" id="{436D8B88-B955-4C1C-9508-A183B18B0AF6}"/>
            </a:ext>
          </a:extLst>
        </xdr:cNvPr>
        <xdr:cNvSpPr/>
      </xdr:nvSpPr>
      <xdr:spPr>
        <a:xfrm>
          <a:off x="280737" y="2747211"/>
          <a:ext cx="1329489" cy="39102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Recruitment</a:t>
          </a:r>
          <a:r>
            <a:rPr lang="en-IN">
              <a:solidFill>
                <a:schemeClr val="tx1"/>
              </a:solidFill>
            </a:rPr>
            <a:t> </a:t>
          </a:r>
          <a:endParaRPr lang="en-IN" sz="1100">
            <a:solidFill>
              <a:schemeClr val="tx1"/>
            </a:solidFill>
          </a:endParaRPr>
        </a:p>
      </xdr:txBody>
    </xdr:sp>
    <xdr:clientData/>
  </xdr:twoCellAnchor>
  <xdr:twoCellAnchor>
    <xdr:from>
      <xdr:col>1</xdr:col>
      <xdr:colOff>270711</xdr:colOff>
      <xdr:row>17</xdr:row>
      <xdr:rowOff>100263</xdr:rowOff>
    </xdr:from>
    <xdr:to>
      <xdr:col>3</xdr:col>
      <xdr:colOff>381000</xdr:colOff>
      <xdr:row>19</xdr:row>
      <xdr:rowOff>110289</xdr:rowOff>
    </xdr:to>
    <xdr:sp macro="" textlink="">
      <xdr:nvSpPr>
        <xdr:cNvPr id="59" name="Rectangle: Rounded Corners 58">
          <a:hlinkClick xmlns:r="http://schemas.openxmlformats.org/officeDocument/2006/relationships" r:id="rId19"/>
          <a:extLst>
            <a:ext uri="{FF2B5EF4-FFF2-40B4-BE49-F238E27FC236}">
              <a16:creationId xmlns:a16="http://schemas.microsoft.com/office/drawing/2014/main" id="{7B582826-B1A1-40F7-8FCE-A3754FEDDF8D}"/>
            </a:ext>
          </a:extLst>
        </xdr:cNvPr>
        <xdr:cNvSpPr/>
      </xdr:nvSpPr>
      <xdr:spPr>
        <a:xfrm>
          <a:off x="270711" y="3338763"/>
          <a:ext cx="1329489"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Experience</a:t>
          </a:r>
          <a:endParaRPr lang="en-IN" sz="1100" b="1"/>
        </a:p>
      </xdr:txBody>
    </xdr:sp>
    <xdr:clientData/>
  </xdr:twoCellAnchor>
  <xdr:twoCellAnchor>
    <xdr:from>
      <xdr:col>1</xdr:col>
      <xdr:colOff>280738</xdr:colOff>
      <xdr:row>20</xdr:row>
      <xdr:rowOff>130342</xdr:rowOff>
    </xdr:from>
    <xdr:to>
      <xdr:col>3</xdr:col>
      <xdr:colOff>391027</xdr:colOff>
      <xdr:row>22</xdr:row>
      <xdr:rowOff>140368</xdr:rowOff>
    </xdr:to>
    <xdr:sp macro="" textlink="">
      <xdr:nvSpPr>
        <xdr:cNvPr id="60" name="Rectangle: Rounded Corners 59">
          <a:hlinkClick xmlns:r="http://schemas.openxmlformats.org/officeDocument/2006/relationships" r:id="rId20"/>
          <a:extLst>
            <a:ext uri="{FF2B5EF4-FFF2-40B4-BE49-F238E27FC236}">
              <a16:creationId xmlns:a16="http://schemas.microsoft.com/office/drawing/2014/main" id="{9A31F7BC-CBC0-4D4D-A975-F41CBC44F9F1}"/>
            </a:ext>
          </a:extLst>
        </xdr:cNvPr>
        <xdr:cNvSpPr/>
      </xdr:nvSpPr>
      <xdr:spPr>
        <a:xfrm>
          <a:off x="280738" y="3940342"/>
          <a:ext cx="1329489"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Salary</a:t>
          </a:r>
          <a:endParaRPr lang="en-IN" sz="1100"/>
        </a:p>
      </xdr:txBody>
    </xdr:sp>
    <xdr:clientData/>
  </xdr:twoCellAnchor>
  <xdr:twoCellAnchor>
    <xdr:from>
      <xdr:col>5</xdr:col>
      <xdr:colOff>9524</xdr:colOff>
      <xdr:row>34</xdr:row>
      <xdr:rowOff>9525</xdr:rowOff>
    </xdr:from>
    <xdr:to>
      <xdr:col>12</xdr:col>
      <xdr:colOff>380999</xdr:colOff>
      <xdr:row>48</xdr:row>
      <xdr:rowOff>85725</xdr:rowOff>
    </xdr:to>
    <xdr:graphicFrame macro="">
      <xdr:nvGraphicFramePr>
        <xdr:cNvPr id="61" name="Chart 60">
          <a:extLst>
            <a:ext uri="{FF2B5EF4-FFF2-40B4-BE49-F238E27FC236}">
              <a16:creationId xmlns:a16="http://schemas.microsoft.com/office/drawing/2014/main" id="{274D000D-4B6C-4EB0-80B2-AE424D5D7D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12</xdr:col>
      <xdr:colOff>600075</xdr:colOff>
      <xdr:row>34</xdr:row>
      <xdr:rowOff>19050</xdr:rowOff>
    </xdr:from>
    <xdr:to>
      <xdr:col>20</xdr:col>
      <xdr:colOff>371475</xdr:colOff>
      <xdr:row>48</xdr:row>
      <xdr:rowOff>57149</xdr:rowOff>
    </xdr:to>
    <xdr:graphicFrame macro="">
      <xdr:nvGraphicFramePr>
        <xdr:cNvPr id="62" name="Chart 61">
          <a:extLst>
            <a:ext uri="{FF2B5EF4-FFF2-40B4-BE49-F238E27FC236}">
              <a16:creationId xmlns:a16="http://schemas.microsoft.com/office/drawing/2014/main" id="{74D3DA8C-FBE5-4798-B500-37FDA18B7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xdr:col>
      <xdr:colOff>14009</xdr:colOff>
      <xdr:row>23</xdr:row>
      <xdr:rowOff>31402</xdr:rowOff>
    </xdr:from>
    <xdr:to>
      <xdr:col>20</xdr:col>
      <xdr:colOff>364192</xdr:colOff>
      <xdr:row>33</xdr:row>
      <xdr:rowOff>20934</xdr:rowOff>
    </xdr:to>
    <xdr:sp macro="" textlink="">
      <xdr:nvSpPr>
        <xdr:cNvPr id="63" name="Rectangle 62">
          <a:extLst>
            <a:ext uri="{FF2B5EF4-FFF2-40B4-BE49-F238E27FC236}">
              <a16:creationId xmlns:a16="http://schemas.microsoft.com/office/drawing/2014/main" id="{55DA913F-6EB4-82DE-57FE-D72A2A57DF7C}"/>
            </a:ext>
          </a:extLst>
        </xdr:cNvPr>
        <xdr:cNvSpPr/>
      </xdr:nvSpPr>
      <xdr:spPr>
        <a:xfrm>
          <a:off x="7409891" y="4541770"/>
          <a:ext cx="4664448" cy="1950561"/>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u="sng">
              <a:solidFill>
                <a:schemeClr val="tx1"/>
              </a:solidFill>
            </a:rPr>
            <a:t>Note:</a:t>
          </a:r>
          <a:r>
            <a:rPr lang="en-IN" sz="1300" b="1">
              <a:solidFill>
                <a:schemeClr val="tx1"/>
              </a:solidFill>
            </a:rPr>
            <a:t>This dashboard provides a clear and structured overview of the recruitment process, combining key metrics, filters, and visual insights in one place. It highlights important indicators such as applications, interviews, offers, and overall performance.</a:t>
          </a:r>
        </a:p>
        <a:p>
          <a:r>
            <a:rPr lang="en-IN" sz="1300" b="1">
              <a:solidFill>
                <a:schemeClr val="tx1"/>
              </a:solidFill>
            </a:rPr>
            <a:t>By exploring each section and using the available filters, users can easily understand hiring trends, company performance, and skill demand, enabling better analysis and decision-making.</a:t>
          </a:r>
        </a:p>
        <a:p>
          <a:pPr algn="l"/>
          <a:endParaRPr lang="en-IN" sz="1100"/>
        </a:p>
      </xdr:txBody>
    </xdr:sp>
    <xdr:clientData/>
  </xdr:twoCellAnchor>
  <xdr:twoCellAnchor editAs="oneCell">
    <xdr:from>
      <xdr:col>4</xdr:col>
      <xdr:colOff>146537</xdr:colOff>
      <xdr:row>0</xdr:row>
      <xdr:rowOff>20935</xdr:rowOff>
    </xdr:from>
    <xdr:to>
      <xdr:col>20</xdr:col>
      <xdr:colOff>418681</xdr:colOff>
      <xdr:row>5</xdr:row>
      <xdr:rowOff>177939</xdr:rowOff>
    </xdr:to>
    <mc:AlternateContent xmlns:mc="http://schemas.openxmlformats.org/markup-compatibility/2006" xmlns:a14="http://schemas.microsoft.com/office/drawing/2010/main">
      <mc:Choice Requires="a14">
        <xdr:graphicFrame macro="">
          <xdr:nvGraphicFramePr>
            <xdr:cNvPr id="8" name="Company 3">
              <a:extLst>
                <a:ext uri="{FF2B5EF4-FFF2-40B4-BE49-F238E27FC236}">
                  <a16:creationId xmlns:a16="http://schemas.microsoft.com/office/drawing/2014/main" id="{9F0A2104-AE88-410A-BE17-4C348E914851}"/>
                </a:ext>
              </a:extLst>
            </xdr:cNvPr>
            <xdr:cNvGraphicFramePr/>
          </xdr:nvGraphicFramePr>
          <xdr:xfrm>
            <a:off x="0" y="0"/>
            <a:ext cx="0" cy="0"/>
          </xdr:xfrm>
          <a:graphic>
            <a:graphicData uri="http://schemas.microsoft.com/office/drawing/2010/slicer">
              <sle:slicer xmlns:sle="http://schemas.microsoft.com/office/drawing/2010/slicer" name="Company 3"/>
            </a:graphicData>
          </a:graphic>
        </xdr:graphicFrame>
      </mc:Choice>
      <mc:Fallback xmlns="">
        <xdr:sp macro="" textlink="">
          <xdr:nvSpPr>
            <xdr:cNvPr id="0" name=""/>
            <xdr:cNvSpPr>
              <a:spLocks noTextEdit="1"/>
            </xdr:cNvSpPr>
          </xdr:nvSpPr>
          <xdr:spPr>
            <a:xfrm>
              <a:off x="1983501" y="20935"/>
              <a:ext cx="10069288" cy="11095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5</xdr:col>
      <xdr:colOff>535117</xdr:colOff>
      <xdr:row>17</xdr:row>
      <xdr:rowOff>89701</xdr:rowOff>
    </xdr:from>
    <xdr:ext cx="631583" cy="405432"/>
    <xdr:sp macro="" textlink="">
      <xdr:nvSpPr>
        <xdr:cNvPr id="9" name="TextBox 8">
          <a:extLst>
            <a:ext uri="{FF2B5EF4-FFF2-40B4-BE49-F238E27FC236}">
              <a16:creationId xmlns:a16="http://schemas.microsoft.com/office/drawing/2014/main" id="{F84521ED-E089-4438-8250-0CCA6EB53646}"/>
            </a:ext>
          </a:extLst>
        </xdr:cNvPr>
        <xdr:cNvSpPr txBox="1"/>
      </xdr:nvSpPr>
      <xdr:spPr>
        <a:xfrm>
          <a:off x="2951215" y="3249213"/>
          <a:ext cx="631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23%</a:t>
          </a:r>
        </a:p>
      </xdr:txBody>
    </xdr:sp>
    <xdr:clientData/>
  </xdr:oneCellAnchor>
  <xdr:twoCellAnchor editAs="oneCell">
    <xdr:from>
      <xdr:col>5</xdr:col>
      <xdr:colOff>169029</xdr:colOff>
      <xdr:row>17</xdr:row>
      <xdr:rowOff>106499</xdr:rowOff>
    </xdr:from>
    <xdr:to>
      <xdr:col>5</xdr:col>
      <xdr:colOff>578965</xdr:colOff>
      <xdr:row>19</xdr:row>
      <xdr:rowOff>139905</xdr:rowOff>
    </xdr:to>
    <xdr:pic>
      <xdr:nvPicPr>
        <xdr:cNvPr id="10" name="Graphic 9" descr="Close with solid fill">
          <a:extLst>
            <a:ext uri="{FF2B5EF4-FFF2-40B4-BE49-F238E27FC236}">
              <a16:creationId xmlns:a16="http://schemas.microsoft.com/office/drawing/2014/main" id="{47620C9A-8B2E-4729-947F-199DC04D68FD}"/>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85127" y="3266011"/>
          <a:ext cx="409936" cy="405114"/>
        </a:xfrm>
        <a:prstGeom prst="rect">
          <a:avLst/>
        </a:prstGeom>
      </xdr:spPr>
    </xdr:pic>
    <xdr:clientData/>
  </xdr:twoCellAnchor>
  <xdr:twoCellAnchor editAs="oneCell">
    <xdr:from>
      <xdr:col>1</xdr:col>
      <xdr:colOff>49610</xdr:colOff>
      <xdr:row>0</xdr:row>
      <xdr:rowOff>109141</xdr:rowOff>
    </xdr:from>
    <xdr:to>
      <xdr:col>3</xdr:col>
      <xdr:colOff>559234</xdr:colOff>
      <xdr:row>6</xdr:row>
      <xdr:rowOff>174685</xdr:rowOff>
    </xdr:to>
    <xdr:pic>
      <xdr:nvPicPr>
        <xdr:cNvPr id="64" name="Picture 63">
          <a:extLst>
            <a:ext uri="{FF2B5EF4-FFF2-40B4-BE49-F238E27FC236}">
              <a16:creationId xmlns:a16="http://schemas.microsoft.com/office/drawing/2014/main" id="{8FBDF0C4-D4DF-42EB-AE55-1B2E75189988}"/>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9610" y="109141"/>
          <a:ext cx="1720093" cy="1196638"/>
        </a:xfrm>
        <a:prstGeom prst="ellipse">
          <a:avLst/>
        </a:prstGeom>
        <a:ln w="63500" cap="rnd">
          <a:solidFill>
            <a:schemeClr val="bg1">
              <a:lumMod val="9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0</xdr:colOff>
      <xdr:row>48</xdr:row>
      <xdr:rowOff>186938</xdr:rowOff>
    </xdr:to>
    <xdr:sp macro="" textlink="">
      <xdr:nvSpPr>
        <xdr:cNvPr id="2" name="Rectangle 1">
          <a:extLst>
            <a:ext uri="{FF2B5EF4-FFF2-40B4-BE49-F238E27FC236}">
              <a16:creationId xmlns:a16="http://schemas.microsoft.com/office/drawing/2014/main" id="{8BB4C5F4-D583-4100-BD30-E67E1FD026AA}"/>
            </a:ext>
          </a:extLst>
        </xdr:cNvPr>
        <xdr:cNvSpPr/>
      </xdr:nvSpPr>
      <xdr:spPr>
        <a:xfrm>
          <a:off x="0" y="0"/>
          <a:ext cx="1828800" cy="9330938"/>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0</xdr:rowOff>
    </xdr:from>
    <xdr:to>
      <xdr:col>21</xdr:col>
      <xdr:colOff>0</xdr:colOff>
      <xdr:row>48</xdr:row>
      <xdr:rowOff>186938</xdr:rowOff>
    </xdr:to>
    <xdr:sp macro="" textlink="">
      <xdr:nvSpPr>
        <xdr:cNvPr id="3" name="Rectangle 2">
          <a:extLst>
            <a:ext uri="{FF2B5EF4-FFF2-40B4-BE49-F238E27FC236}">
              <a16:creationId xmlns:a16="http://schemas.microsoft.com/office/drawing/2014/main" id="{423FEF47-4FF9-4905-833D-A48907FCAEEF}"/>
            </a:ext>
          </a:extLst>
        </xdr:cNvPr>
        <xdr:cNvSpPr/>
      </xdr:nvSpPr>
      <xdr:spPr>
        <a:xfrm>
          <a:off x="1828800" y="0"/>
          <a:ext cx="10363200" cy="9330938"/>
        </a:xfrm>
        <a:prstGeom prst="rect">
          <a:avLst/>
        </a:prstGeom>
        <a:solidFill>
          <a:srgbClr val="A6A6A6">
            <a:alpha val="8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191925</xdr:colOff>
      <xdr:row>20</xdr:row>
      <xdr:rowOff>0</xdr:rowOff>
    </xdr:from>
    <xdr:to>
      <xdr:col>20</xdr:col>
      <xdr:colOff>382780</xdr:colOff>
      <xdr:row>22</xdr:row>
      <xdr:rowOff>33115</xdr:rowOff>
    </xdr:to>
    <xdr:sp macro="" textlink="">
      <xdr:nvSpPr>
        <xdr:cNvPr id="4" name="Rectangle: Rounded Corners 3">
          <a:extLst>
            <a:ext uri="{FF2B5EF4-FFF2-40B4-BE49-F238E27FC236}">
              <a16:creationId xmlns:a16="http://schemas.microsoft.com/office/drawing/2014/main" id="{C7C50E3D-21A4-437E-8BF9-4D40A4D9D86E}"/>
            </a:ext>
          </a:extLst>
        </xdr:cNvPr>
        <xdr:cNvSpPr/>
      </xdr:nvSpPr>
      <xdr:spPr>
        <a:xfrm>
          <a:off x="2020725" y="3810000"/>
          <a:ext cx="9944455" cy="41411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000" b="1">
              <a:solidFill>
                <a:schemeClr val="tx1">
                  <a:lumMod val="95000"/>
                  <a:lumOff val="5000"/>
                </a:schemeClr>
              </a:solidFill>
            </a:rPr>
            <a:t>Job Analytics</a:t>
          </a:r>
        </a:p>
      </xdr:txBody>
    </xdr:sp>
    <xdr:clientData/>
  </xdr:twoCellAnchor>
  <xdr:twoCellAnchor>
    <xdr:from>
      <xdr:col>10</xdr:col>
      <xdr:colOff>44509</xdr:colOff>
      <xdr:row>20</xdr:row>
      <xdr:rowOff>0</xdr:rowOff>
    </xdr:from>
    <xdr:to>
      <xdr:col>11</xdr:col>
      <xdr:colOff>44509</xdr:colOff>
      <xdr:row>22</xdr:row>
      <xdr:rowOff>33114</xdr:rowOff>
    </xdr:to>
    <mc:AlternateContent xmlns:mc="http://schemas.openxmlformats.org/markup-compatibility/2006">
      <mc:Choice xmlns:am3d="http://schemas.microsoft.com/office/drawing/2017/model3d" Requires="am3d">
        <xdr:graphicFrame macro="">
          <xdr:nvGraphicFramePr>
            <xdr:cNvPr id="5" name="3D Model 4" descr="Upward Trend">
              <a:extLst>
                <a:ext uri="{FF2B5EF4-FFF2-40B4-BE49-F238E27FC236}">
                  <a16:creationId xmlns:a16="http://schemas.microsoft.com/office/drawing/2014/main" id="{5C2E81D9-249F-415C-AC89-21B8EFA98FD0}"/>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606136" cy="408341"/>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m3d:postTrans dx="0" dy="0" dz="0"/>
                </am3d:trans>
                <am3d:raster rName="Office3DRenderer" rVer="16.0.8326">
                  <am3d:blip r:embed="rId2"/>
                </am3d:raster>
                <am3d:objViewport viewportSz="61753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Upward Trend">
              <a:extLst>
                <a:ext uri="{FF2B5EF4-FFF2-40B4-BE49-F238E27FC236}">
                  <a16:creationId xmlns:a16="http://schemas.microsoft.com/office/drawing/2014/main" id="{5C2E81D9-249F-415C-AC89-21B8EFA98FD0}"/>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6105873" y="3752273"/>
              <a:ext cx="606136" cy="408341"/>
            </a:xfrm>
            <a:prstGeom prst="rect">
              <a:avLst/>
            </a:prstGeom>
          </xdr:spPr>
        </xdr:pic>
      </mc:Fallback>
    </mc:AlternateContent>
    <xdr:clientData/>
  </xdr:twoCellAnchor>
  <xdr:twoCellAnchor>
    <xdr:from>
      <xdr:col>5</xdr:col>
      <xdr:colOff>116287</xdr:colOff>
      <xdr:row>13</xdr:row>
      <xdr:rowOff>48512</xdr:rowOff>
    </xdr:from>
    <xdr:to>
      <xdr:col>8</xdr:col>
      <xdr:colOff>0</xdr:colOff>
      <xdr:row>16</xdr:row>
      <xdr:rowOff>2715</xdr:rowOff>
    </xdr:to>
    <xdr:sp macro="" textlink="">
      <xdr:nvSpPr>
        <xdr:cNvPr id="8" name="Rectangle: Top Corners One Rounded and One Snipped 7">
          <a:extLst>
            <a:ext uri="{FF2B5EF4-FFF2-40B4-BE49-F238E27FC236}">
              <a16:creationId xmlns:a16="http://schemas.microsoft.com/office/drawing/2014/main" id="{A376EC7B-F39F-45F2-849A-07A0D4F49CF3}"/>
            </a:ext>
          </a:extLst>
        </xdr:cNvPr>
        <xdr:cNvSpPr/>
      </xdr:nvSpPr>
      <xdr:spPr>
        <a:xfrm>
          <a:off x="2554687" y="2525012"/>
          <a:ext cx="1712513" cy="525703"/>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142279</xdr:colOff>
      <xdr:row>13</xdr:row>
      <xdr:rowOff>47722</xdr:rowOff>
    </xdr:from>
    <xdr:to>
      <xdr:col>12</xdr:col>
      <xdr:colOff>60158</xdr:colOff>
      <xdr:row>16</xdr:row>
      <xdr:rowOff>1</xdr:rowOff>
    </xdr:to>
    <xdr:sp macro="" textlink="">
      <xdr:nvSpPr>
        <xdr:cNvPr id="9" name="Rectangle: Top Corners One Rounded and One Snipped 8">
          <a:extLst>
            <a:ext uri="{FF2B5EF4-FFF2-40B4-BE49-F238E27FC236}">
              <a16:creationId xmlns:a16="http://schemas.microsoft.com/office/drawing/2014/main" id="{9C2DAD34-9361-459E-A3B0-2F00A0B0A3CF}"/>
            </a:ext>
          </a:extLst>
        </xdr:cNvPr>
        <xdr:cNvSpPr/>
      </xdr:nvSpPr>
      <xdr:spPr>
        <a:xfrm>
          <a:off x="5019079" y="2524222"/>
          <a:ext cx="1746679"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268398</xdr:colOff>
      <xdr:row>13</xdr:row>
      <xdr:rowOff>47721</xdr:rowOff>
    </xdr:from>
    <xdr:to>
      <xdr:col>16</xdr:col>
      <xdr:colOff>230605</xdr:colOff>
      <xdr:row>16</xdr:row>
      <xdr:rowOff>0</xdr:rowOff>
    </xdr:to>
    <xdr:sp macro="" textlink="">
      <xdr:nvSpPr>
        <xdr:cNvPr id="10" name="Rectangle: Top Corners One Rounded and One Snipped 9">
          <a:extLst>
            <a:ext uri="{FF2B5EF4-FFF2-40B4-BE49-F238E27FC236}">
              <a16:creationId xmlns:a16="http://schemas.microsoft.com/office/drawing/2014/main" id="{2E34055D-AE97-440C-9E4F-7D166CC37514}"/>
            </a:ext>
          </a:extLst>
        </xdr:cNvPr>
        <xdr:cNvSpPr/>
      </xdr:nvSpPr>
      <xdr:spPr>
        <a:xfrm>
          <a:off x="7583598" y="252422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400">
            <a:effectLst/>
          </a:endParaRPr>
        </a:p>
        <a:p>
          <a:pPr algn="l"/>
          <a:endParaRPr lang="en-IN" sz="1400" b="1">
            <a:solidFill>
              <a:schemeClr val="tx1"/>
            </a:solidFill>
          </a:endParaRPr>
        </a:p>
      </xdr:txBody>
    </xdr:sp>
    <xdr:clientData/>
  </xdr:twoCellAnchor>
  <xdr:twoCellAnchor>
    <xdr:from>
      <xdr:col>17</xdr:col>
      <xdr:colOff>413974</xdr:colOff>
      <xdr:row>13</xdr:row>
      <xdr:rowOff>47721</xdr:rowOff>
    </xdr:from>
    <xdr:to>
      <xdr:col>20</xdr:col>
      <xdr:colOff>270711</xdr:colOff>
      <xdr:row>16</xdr:row>
      <xdr:rowOff>0</xdr:rowOff>
    </xdr:to>
    <xdr:sp macro="" textlink="">
      <xdr:nvSpPr>
        <xdr:cNvPr id="11" name="Rectangle: Top Corners One Rounded and One Snipped 10">
          <a:extLst>
            <a:ext uri="{FF2B5EF4-FFF2-40B4-BE49-F238E27FC236}">
              <a16:creationId xmlns:a16="http://schemas.microsoft.com/office/drawing/2014/main" id="{122364E3-A1E9-4DE3-91D2-486FD96E0D19}"/>
            </a:ext>
          </a:extLst>
        </xdr:cNvPr>
        <xdr:cNvSpPr/>
      </xdr:nvSpPr>
      <xdr:spPr>
        <a:xfrm>
          <a:off x="10167574" y="2524221"/>
          <a:ext cx="168553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400" b="1">
            <a:solidFill>
              <a:schemeClr val="tx1"/>
            </a:solidFill>
          </a:endParaRPr>
        </a:p>
      </xdr:txBody>
    </xdr:sp>
    <xdr:clientData/>
  </xdr:twoCellAnchor>
  <xdr:twoCellAnchor>
    <xdr:from>
      <xdr:col>5</xdr:col>
      <xdr:colOff>106260</xdr:colOff>
      <xdr:row>16</xdr:row>
      <xdr:rowOff>154750</xdr:rowOff>
    </xdr:from>
    <xdr:to>
      <xdr:col>7</xdr:col>
      <xdr:colOff>611604</xdr:colOff>
      <xdr:row>19</xdr:row>
      <xdr:rowOff>107029</xdr:rowOff>
    </xdr:to>
    <xdr:sp macro="" textlink="">
      <xdr:nvSpPr>
        <xdr:cNvPr id="12" name="Rectangle: Top Corners One Rounded and One Snipped 11">
          <a:extLst>
            <a:ext uri="{FF2B5EF4-FFF2-40B4-BE49-F238E27FC236}">
              <a16:creationId xmlns:a16="http://schemas.microsoft.com/office/drawing/2014/main" id="{86328A6B-D0CB-40FE-A2B4-834D03190E19}"/>
            </a:ext>
          </a:extLst>
        </xdr:cNvPr>
        <xdr:cNvSpPr/>
      </xdr:nvSpPr>
      <xdr:spPr>
        <a:xfrm>
          <a:off x="2544660" y="3202750"/>
          <a:ext cx="1724544"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17</xdr:col>
      <xdr:colOff>413975</xdr:colOff>
      <xdr:row>16</xdr:row>
      <xdr:rowOff>114643</xdr:rowOff>
    </xdr:from>
    <xdr:to>
      <xdr:col>20</xdr:col>
      <xdr:colOff>270711</xdr:colOff>
      <xdr:row>19</xdr:row>
      <xdr:rowOff>66922</xdr:rowOff>
    </xdr:to>
    <xdr:sp macro="" textlink="">
      <xdr:nvSpPr>
        <xdr:cNvPr id="13" name="Rectangle: Top Corners One Rounded and One Snipped 12">
          <a:extLst>
            <a:ext uri="{FF2B5EF4-FFF2-40B4-BE49-F238E27FC236}">
              <a16:creationId xmlns:a16="http://schemas.microsoft.com/office/drawing/2014/main" id="{9F7B11E4-8605-45F7-83EF-95E65DEB1E21}"/>
            </a:ext>
          </a:extLst>
        </xdr:cNvPr>
        <xdr:cNvSpPr/>
      </xdr:nvSpPr>
      <xdr:spPr>
        <a:xfrm>
          <a:off x="10167575" y="3162643"/>
          <a:ext cx="1685536"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258371</xdr:colOff>
      <xdr:row>16</xdr:row>
      <xdr:rowOff>133501</xdr:rowOff>
    </xdr:from>
    <xdr:to>
      <xdr:col>16</xdr:col>
      <xdr:colOff>220578</xdr:colOff>
      <xdr:row>19</xdr:row>
      <xdr:rowOff>85780</xdr:rowOff>
    </xdr:to>
    <xdr:sp macro="" textlink="">
      <xdr:nvSpPr>
        <xdr:cNvPr id="14" name="Rectangle: Top Corners One Rounded and One Snipped 13">
          <a:extLst>
            <a:ext uri="{FF2B5EF4-FFF2-40B4-BE49-F238E27FC236}">
              <a16:creationId xmlns:a16="http://schemas.microsoft.com/office/drawing/2014/main" id="{93292905-B5D9-416D-888F-A9E7291C5BD4}"/>
            </a:ext>
          </a:extLst>
        </xdr:cNvPr>
        <xdr:cNvSpPr/>
      </xdr:nvSpPr>
      <xdr:spPr>
        <a:xfrm>
          <a:off x="7573571" y="318150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112200</xdr:colOff>
      <xdr:row>16</xdr:row>
      <xdr:rowOff>144725</xdr:rowOff>
    </xdr:from>
    <xdr:to>
      <xdr:col>12</xdr:col>
      <xdr:colOff>50132</xdr:colOff>
      <xdr:row>19</xdr:row>
      <xdr:rowOff>97004</xdr:rowOff>
    </xdr:to>
    <xdr:sp macro="" textlink="">
      <xdr:nvSpPr>
        <xdr:cNvPr id="15" name="Rectangle: Top Corners One Rounded and One Snipped 14">
          <a:extLst>
            <a:ext uri="{FF2B5EF4-FFF2-40B4-BE49-F238E27FC236}">
              <a16:creationId xmlns:a16="http://schemas.microsoft.com/office/drawing/2014/main" id="{24E80748-A8EF-4EC8-A500-70DC9B96E8EA}"/>
            </a:ext>
          </a:extLst>
        </xdr:cNvPr>
        <xdr:cNvSpPr/>
      </xdr:nvSpPr>
      <xdr:spPr>
        <a:xfrm>
          <a:off x="4989000" y="3192725"/>
          <a:ext cx="1766732"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editAs="oneCell">
    <xdr:from>
      <xdr:col>5</xdr:col>
      <xdr:colOff>146364</xdr:colOff>
      <xdr:row>14</xdr:row>
      <xdr:rowOff>70184</xdr:rowOff>
    </xdr:from>
    <xdr:to>
      <xdr:col>6</xdr:col>
      <xdr:colOff>54689</xdr:colOff>
      <xdr:row>15</xdr:row>
      <xdr:rowOff>174377</xdr:rowOff>
    </xdr:to>
    <xdr:pic>
      <xdr:nvPicPr>
        <xdr:cNvPr id="16" name="Graphic 15" descr="Document with solid fill">
          <a:extLst>
            <a:ext uri="{FF2B5EF4-FFF2-40B4-BE49-F238E27FC236}">
              <a16:creationId xmlns:a16="http://schemas.microsoft.com/office/drawing/2014/main" id="{F0F6B912-C381-4F80-8744-17363D3E119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84764" y="2737184"/>
          <a:ext cx="517924" cy="294693"/>
        </a:xfrm>
        <a:prstGeom prst="rect">
          <a:avLst/>
        </a:prstGeom>
      </xdr:spPr>
    </xdr:pic>
    <xdr:clientData/>
  </xdr:twoCellAnchor>
  <xdr:oneCellAnchor>
    <xdr:from>
      <xdr:col>6</xdr:col>
      <xdr:colOff>4557</xdr:colOff>
      <xdr:row>14</xdr:row>
      <xdr:rowOff>18028</xdr:rowOff>
    </xdr:from>
    <xdr:ext cx="597021" cy="360772"/>
    <xdr:sp macro="" textlink="'Pivot Tables'!P80">
      <xdr:nvSpPr>
        <xdr:cNvPr id="17" name="TextBox 16">
          <a:extLst>
            <a:ext uri="{FF2B5EF4-FFF2-40B4-BE49-F238E27FC236}">
              <a16:creationId xmlns:a16="http://schemas.microsoft.com/office/drawing/2014/main" id="{7EA50E97-5F63-48F0-AEB0-CAACA64127D8}"/>
            </a:ext>
          </a:extLst>
        </xdr:cNvPr>
        <xdr:cNvSpPr txBox="1"/>
      </xdr:nvSpPr>
      <xdr:spPr>
        <a:xfrm>
          <a:off x="3052557" y="2685028"/>
          <a:ext cx="597021" cy="360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DE3C380-76CB-48CE-908D-6E6657B1B5F4}"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100</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413791</xdr:colOff>
      <xdr:row>14</xdr:row>
      <xdr:rowOff>6269</xdr:rowOff>
    </xdr:from>
    <xdr:to>
      <xdr:col>10</xdr:col>
      <xdr:colOff>203563</xdr:colOff>
      <xdr:row>16</xdr:row>
      <xdr:rowOff>22798</xdr:rowOff>
    </xdr:to>
    <xdr:pic>
      <xdr:nvPicPr>
        <xdr:cNvPr id="18" name="Graphic 17" descr="User with solid fill">
          <a:extLst>
            <a:ext uri="{FF2B5EF4-FFF2-40B4-BE49-F238E27FC236}">
              <a16:creationId xmlns:a16="http://schemas.microsoft.com/office/drawing/2014/main" id="{0EF173BF-CAF6-4BE9-A7E2-F14E89A2A0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90591" y="2673269"/>
          <a:ext cx="399373" cy="397529"/>
        </a:xfrm>
        <a:prstGeom prst="rect">
          <a:avLst/>
        </a:prstGeom>
        <a:effectLst>
          <a:outerShdw blurRad="50800" dist="38100" dir="5400000" algn="t" rotWithShape="0">
            <a:prstClr val="black">
              <a:alpha val="40000"/>
            </a:prstClr>
          </a:outerShdw>
        </a:effectLst>
      </xdr:spPr>
    </xdr:pic>
    <xdr:clientData/>
  </xdr:twoCellAnchor>
  <xdr:oneCellAnchor>
    <xdr:from>
      <xdr:col>10</xdr:col>
      <xdr:colOff>213362</xdr:colOff>
      <xdr:row>14</xdr:row>
      <xdr:rowOff>24713</xdr:rowOff>
    </xdr:from>
    <xdr:ext cx="441146" cy="387222"/>
    <xdr:sp macro="" textlink="'Pivot Tables'!P81">
      <xdr:nvSpPr>
        <xdr:cNvPr id="19" name="TextBox 18">
          <a:extLst>
            <a:ext uri="{FF2B5EF4-FFF2-40B4-BE49-F238E27FC236}">
              <a16:creationId xmlns:a16="http://schemas.microsoft.com/office/drawing/2014/main" id="{E357643C-D859-42F4-B77F-9D4A4715CEF0}"/>
            </a:ext>
          </a:extLst>
        </xdr:cNvPr>
        <xdr:cNvSpPr txBox="1"/>
      </xdr:nvSpPr>
      <xdr:spPr>
        <a:xfrm>
          <a:off x="5699762" y="2691713"/>
          <a:ext cx="44114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4878C0-0F0A-44B4-B4C5-2044BF0EE2C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17</xdr:col>
      <xdr:colOff>469192</xdr:colOff>
      <xdr:row>14</xdr:row>
      <xdr:rowOff>60158</xdr:rowOff>
    </xdr:from>
    <xdr:to>
      <xdr:col>18</xdr:col>
      <xdr:colOff>392684</xdr:colOff>
      <xdr:row>15</xdr:row>
      <xdr:rowOff>160421</xdr:rowOff>
    </xdr:to>
    <xdr:pic>
      <xdr:nvPicPr>
        <xdr:cNvPr id="20" name="Graphic 19" descr="Checklist with solid fill">
          <a:extLst>
            <a:ext uri="{FF2B5EF4-FFF2-40B4-BE49-F238E27FC236}">
              <a16:creationId xmlns:a16="http://schemas.microsoft.com/office/drawing/2014/main" id="{B1DCC64F-EAF3-4D3A-971C-2FE051D1BF8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222792" y="2727158"/>
          <a:ext cx="533093" cy="290763"/>
        </a:xfrm>
        <a:prstGeom prst="rect">
          <a:avLst/>
        </a:prstGeom>
      </xdr:spPr>
    </xdr:pic>
    <xdr:clientData/>
  </xdr:twoCellAnchor>
  <xdr:oneCellAnchor>
    <xdr:from>
      <xdr:col>14</xdr:col>
      <xdr:colOff>300992</xdr:colOff>
      <xdr:row>13</xdr:row>
      <xdr:rowOff>170448</xdr:rowOff>
    </xdr:from>
    <xdr:ext cx="441146" cy="387222"/>
    <xdr:sp macro="" textlink="'Pivot Tables'!P82">
      <xdr:nvSpPr>
        <xdr:cNvPr id="21" name="TextBox 20">
          <a:extLst>
            <a:ext uri="{FF2B5EF4-FFF2-40B4-BE49-F238E27FC236}">
              <a16:creationId xmlns:a16="http://schemas.microsoft.com/office/drawing/2014/main" id="{957E76AD-4BF5-4366-A25D-F27151C4DBD8}"/>
            </a:ext>
          </a:extLst>
        </xdr:cNvPr>
        <xdr:cNvSpPr txBox="1"/>
      </xdr:nvSpPr>
      <xdr:spPr>
        <a:xfrm>
          <a:off x="8225792" y="2646948"/>
          <a:ext cx="441146" cy="38722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none" rtlCol="0" anchor="t">
          <a:spAutoFit/>
        </a:bodyPr>
        <a:lstStyle/>
        <a:p>
          <a:fld id="{78CE2974-7939-432D-BAD2-CC3D455E214F}"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4</xdr:col>
      <xdr:colOff>113934</xdr:colOff>
      <xdr:row>0</xdr:row>
      <xdr:rowOff>50131</xdr:rowOff>
    </xdr:from>
    <xdr:to>
      <xdr:col>20</xdr:col>
      <xdr:colOff>463716</xdr:colOff>
      <xdr:row>6</xdr:row>
      <xdr:rowOff>12532</xdr:rowOff>
    </xdr:to>
    <mc:AlternateContent xmlns:mc="http://schemas.openxmlformats.org/markup-compatibility/2006" xmlns:a14="http://schemas.microsoft.com/office/drawing/2010/main">
      <mc:Choice Requires="a14">
        <xdr:graphicFrame macro="">
          <xdr:nvGraphicFramePr>
            <xdr:cNvPr id="22" name="Company 4">
              <a:extLst>
                <a:ext uri="{FF2B5EF4-FFF2-40B4-BE49-F238E27FC236}">
                  <a16:creationId xmlns:a16="http://schemas.microsoft.com/office/drawing/2014/main" id="{23A38C6B-793B-4395-B468-40DAB25BE115}"/>
                </a:ext>
              </a:extLst>
            </xdr:cNvPr>
            <xdr:cNvGraphicFramePr/>
          </xdr:nvGraphicFramePr>
          <xdr:xfrm>
            <a:off x="0" y="0"/>
            <a:ext cx="0" cy="0"/>
          </xdr:xfrm>
          <a:graphic>
            <a:graphicData uri="http://schemas.microsoft.com/office/drawing/2010/slicer">
              <sle:slicer xmlns:sle="http://schemas.microsoft.com/office/drawing/2010/slicer" name="Company 4"/>
            </a:graphicData>
          </a:graphic>
        </xdr:graphicFrame>
      </mc:Choice>
      <mc:Fallback xmlns="">
        <xdr:sp macro="" textlink="">
          <xdr:nvSpPr>
            <xdr:cNvPr id="0" name=""/>
            <xdr:cNvSpPr>
              <a:spLocks noTextEdit="1"/>
            </xdr:cNvSpPr>
          </xdr:nvSpPr>
          <xdr:spPr>
            <a:xfrm>
              <a:off x="1935198" y="50131"/>
              <a:ext cx="10063188" cy="10928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414724</xdr:colOff>
      <xdr:row>6</xdr:row>
      <xdr:rowOff>110288</xdr:rowOff>
    </xdr:from>
    <xdr:to>
      <xdr:col>12</xdr:col>
      <xdr:colOff>401189</xdr:colOff>
      <xdr:row>12</xdr:row>
      <xdr:rowOff>125677</xdr:rowOff>
    </xdr:to>
    <mc:AlternateContent xmlns:mc="http://schemas.openxmlformats.org/markup-compatibility/2006" xmlns:a14="http://schemas.microsoft.com/office/drawing/2010/main">
      <mc:Choice Requires="a14">
        <xdr:graphicFrame macro="">
          <xdr:nvGraphicFramePr>
            <xdr:cNvPr id="23" name="Application Source 4">
              <a:extLst>
                <a:ext uri="{FF2B5EF4-FFF2-40B4-BE49-F238E27FC236}">
                  <a16:creationId xmlns:a16="http://schemas.microsoft.com/office/drawing/2014/main" id="{A3AB4517-3B8A-4E5B-80EC-858C35247BC3}"/>
                </a:ext>
              </a:extLst>
            </xdr:cNvPr>
            <xdr:cNvGraphicFramePr/>
          </xdr:nvGraphicFramePr>
          <xdr:xfrm>
            <a:off x="0" y="0"/>
            <a:ext cx="0" cy="0"/>
          </xdr:xfrm>
          <a:graphic>
            <a:graphicData uri="http://schemas.microsoft.com/office/drawing/2010/slicer">
              <sle:slicer xmlns:sle="http://schemas.microsoft.com/office/drawing/2010/slicer" name="Application Source 4"/>
            </a:graphicData>
          </a:graphic>
        </xdr:graphicFrame>
      </mc:Choice>
      <mc:Fallback xmlns="">
        <xdr:sp macro="" textlink="">
          <xdr:nvSpPr>
            <xdr:cNvPr id="0" name=""/>
            <xdr:cNvSpPr>
              <a:spLocks noTextEdit="1"/>
            </xdr:cNvSpPr>
          </xdr:nvSpPr>
          <xdr:spPr>
            <a:xfrm>
              <a:off x="5271427" y="1240728"/>
              <a:ext cx="1807729" cy="11458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26204</xdr:colOff>
      <xdr:row>6</xdr:row>
      <xdr:rowOff>108424</xdr:rowOff>
    </xdr:from>
    <xdr:to>
      <xdr:col>20</xdr:col>
      <xdr:colOff>451183</xdr:colOff>
      <xdr:row>12</xdr:row>
      <xdr:rowOff>103411</xdr:rowOff>
    </xdr:to>
    <mc:AlternateContent xmlns:mc="http://schemas.openxmlformats.org/markup-compatibility/2006" xmlns:a14="http://schemas.microsoft.com/office/drawing/2010/main">
      <mc:Choice Requires="a14">
        <xdr:graphicFrame macro="">
          <xdr:nvGraphicFramePr>
            <xdr:cNvPr id="24" name="Status 4">
              <a:extLst>
                <a:ext uri="{FF2B5EF4-FFF2-40B4-BE49-F238E27FC236}">
                  <a16:creationId xmlns:a16="http://schemas.microsoft.com/office/drawing/2014/main" id="{32FBD996-1E39-43D9-8B87-BDC86B7CD5F1}"/>
                </a:ext>
              </a:extLst>
            </xdr:cNvPr>
            <xdr:cNvGraphicFramePr/>
          </xdr:nvGraphicFramePr>
          <xdr:xfrm>
            <a:off x="0" y="0"/>
            <a:ext cx="0" cy="0"/>
          </xdr:xfrm>
          <a:graphic>
            <a:graphicData uri="http://schemas.microsoft.com/office/drawing/2010/slicer">
              <sle:slicer xmlns:sle="http://schemas.microsoft.com/office/drawing/2010/slicer" name="Status 4"/>
            </a:graphicData>
          </a:graphic>
        </xdr:graphicFrame>
      </mc:Choice>
      <mc:Fallback xmlns="">
        <xdr:sp macro="" textlink="">
          <xdr:nvSpPr>
            <xdr:cNvPr id="0" name=""/>
            <xdr:cNvSpPr>
              <a:spLocks noTextEdit="1"/>
            </xdr:cNvSpPr>
          </xdr:nvSpPr>
          <xdr:spPr>
            <a:xfrm>
              <a:off x="9772716" y="1238133"/>
              <a:ext cx="2252450" cy="11246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87732</xdr:colOff>
      <xdr:row>6</xdr:row>
      <xdr:rowOff>120315</xdr:rowOff>
    </xdr:from>
    <xdr:to>
      <xdr:col>16</xdr:col>
      <xdr:colOff>401052</xdr:colOff>
      <xdr:row>12</xdr:row>
      <xdr:rowOff>100264</xdr:rowOff>
    </xdr:to>
    <mc:AlternateContent xmlns:mc="http://schemas.openxmlformats.org/markup-compatibility/2006" xmlns:a14="http://schemas.microsoft.com/office/drawing/2010/main">
      <mc:Choice Requires="a14">
        <xdr:graphicFrame macro="">
          <xdr:nvGraphicFramePr>
            <xdr:cNvPr id="25" name="Experience 3">
              <a:extLst>
                <a:ext uri="{FF2B5EF4-FFF2-40B4-BE49-F238E27FC236}">
                  <a16:creationId xmlns:a16="http://schemas.microsoft.com/office/drawing/2014/main" id="{ACB50593-D32D-4656-B12C-F06ADEF79DF2}"/>
                </a:ext>
              </a:extLst>
            </xdr:cNvPr>
            <xdr:cNvGraphicFramePr/>
          </xdr:nvGraphicFramePr>
          <xdr:xfrm>
            <a:off x="0" y="0"/>
            <a:ext cx="0" cy="0"/>
          </xdr:xfrm>
          <a:graphic>
            <a:graphicData uri="http://schemas.microsoft.com/office/drawing/2010/slicer">
              <sle:slicer xmlns:sle="http://schemas.microsoft.com/office/drawing/2010/slicer" name="Experience 3"/>
            </a:graphicData>
          </a:graphic>
        </xdr:graphicFrame>
      </mc:Choice>
      <mc:Fallback xmlns="">
        <xdr:sp macro="" textlink="">
          <xdr:nvSpPr>
            <xdr:cNvPr id="0" name=""/>
            <xdr:cNvSpPr>
              <a:spLocks noTextEdit="1"/>
            </xdr:cNvSpPr>
          </xdr:nvSpPr>
          <xdr:spPr>
            <a:xfrm>
              <a:off x="7372787" y="1250755"/>
              <a:ext cx="2134584" cy="1110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150393</xdr:colOff>
      <xdr:row>6</xdr:row>
      <xdr:rowOff>100262</xdr:rowOff>
    </xdr:from>
    <xdr:to>
      <xdr:col>9</xdr:col>
      <xdr:colOff>75195</xdr:colOff>
      <xdr:row>12</xdr:row>
      <xdr:rowOff>87730</xdr:rowOff>
    </xdr:to>
    <mc:AlternateContent xmlns:mc="http://schemas.openxmlformats.org/markup-compatibility/2006" xmlns:a14="http://schemas.microsoft.com/office/drawing/2010/main">
      <mc:Choice Requires="a14">
        <xdr:graphicFrame macro="">
          <xdr:nvGraphicFramePr>
            <xdr:cNvPr id="26" name="Role 3">
              <a:extLst>
                <a:ext uri="{FF2B5EF4-FFF2-40B4-BE49-F238E27FC236}">
                  <a16:creationId xmlns:a16="http://schemas.microsoft.com/office/drawing/2014/main" id="{A81EF108-C697-4BEE-8F6C-263454CE2A54}"/>
                </a:ext>
              </a:extLst>
            </xdr:cNvPr>
            <xdr:cNvGraphicFramePr/>
          </xdr:nvGraphicFramePr>
          <xdr:xfrm>
            <a:off x="0" y="0"/>
            <a:ext cx="0" cy="0"/>
          </xdr:xfrm>
          <a:graphic>
            <a:graphicData uri="http://schemas.microsoft.com/office/drawing/2010/slicer">
              <sle:slicer xmlns:sle="http://schemas.microsoft.com/office/drawing/2010/slicer" name="Role 3"/>
            </a:graphicData>
          </a:graphic>
        </xdr:graphicFrame>
      </mc:Choice>
      <mc:Fallback xmlns="">
        <xdr:sp macro="" textlink="">
          <xdr:nvSpPr>
            <xdr:cNvPr id="0" name=""/>
            <xdr:cNvSpPr>
              <a:spLocks noTextEdit="1"/>
            </xdr:cNvSpPr>
          </xdr:nvSpPr>
          <xdr:spPr>
            <a:xfrm>
              <a:off x="1971657" y="1230702"/>
              <a:ext cx="2960241" cy="1117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290763</xdr:colOff>
      <xdr:row>13</xdr:row>
      <xdr:rowOff>164833</xdr:rowOff>
    </xdr:from>
    <xdr:to>
      <xdr:col>5</xdr:col>
      <xdr:colOff>10026</xdr:colOff>
      <xdr:row>16</xdr:row>
      <xdr:rowOff>1</xdr:rowOff>
    </xdr:to>
    <xdr:sp macro="" textlink="">
      <xdr:nvSpPr>
        <xdr:cNvPr id="27" name="Arrow: Right 26">
          <a:extLst>
            <a:ext uri="{FF2B5EF4-FFF2-40B4-BE49-F238E27FC236}">
              <a16:creationId xmlns:a16="http://schemas.microsoft.com/office/drawing/2014/main" id="{EBCCD369-7F98-42B6-9A5B-6DA287C958AB}"/>
            </a:ext>
          </a:extLst>
        </xdr:cNvPr>
        <xdr:cNvSpPr/>
      </xdr:nvSpPr>
      <xdr:spPr>
        <a:xfrm>
          <a:off x="2119563" y="26413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290764</xdr:colOff>
      <xdr:row>17</xdr:row>
      <xdr:rowOff>4412</xdr:rowOff>
    </xdr:from>
    <xdr:to>
      <xdr:col>5</xdr:col>
      <xdr:colOff>10027</xdr:colOff>
      <xdr:row>19</xdr:row>
      <xdr:rowOff>30080</xdr:rowOff>
    </xdr:to>
    <xdr:sp macro="" textlink="">
      <xdr:nvSpPr>
        <xdr:cNvPr id="28" name="Arrow: Right 27">
          <a:extLst>
            <a:ext uri="{FF2B5EF4-FFF2-40B4-BE49-F238E27FC236}">
              <a16:creationId xmlns:a16="http://schemas.microsoft.com/office/drawing/2014/main" id="{959D999B-0C4D-488D-80FE-95AFB948C7EC}"/>
            </a:ext>
          </a:extLst>
        </xdr:cNvPr>
        <xdr:cNvSpPr/>
      </xdr:nvSpPr>
      <xdr:spPr>
        <a:xfrm>
          <a:off x="2119564" y="3242912"/>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270710</xdr:colOff>
      <xdr:row>13</xdr:row>
      <xdr:rowOff>124728</xdr:rowOff>
    </xdr:from>
    <xdr:to>
      <xdr:col>8</xdr:col>
      <xdr:colOff>601578</xdr:colOff>
      <xdr:row>15</xdr:row>
      <xdr:rowOff>150396</xdr:rowOff>
    </xdr:to>
    <xdr:sp macro="" textlink="">
      <xdr:nvSpPr>
        <xdr:cNvPr id="29" name="Arrow: Right 28">
          <a:extLst>
            <a:ext uri="{FF2B5EF4-FFF2-40B4-BE49-F238E27FC236}">
              <a16:creationId xmlns:a16="http://schemas.microsoft.com/office/drawing/2014/main" id="{49B2DFFC-25C4-41A2-AF98-B2EEAFD540BE}"/>
            </a:ext>
          </a:extLst>
        </xdr:cNvPr>
        <xdr:cNvSpPr/>
      </xdr:nvSpPr>
      <xdr:spPr>
        <a:xfrm>
          <a:off x="4537910" y="260122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250657</xdr:colOff>
      <xdr:row>17</xdr:row>
      <xdr:rowOff>24465</xdr:rowOff>
    </xdr:from>
    <xdr:to>
      <xdr:col>8</xdr:col>
      <xdr:colOff>581525</xdr:colOff>
      <xdr:row>19</xdr:row>
      <xdr:rowOff>50133</xdr:rowOff>
    </xdr:to>
    <xdr:sp macro="" textlink="">
      <xdr:nvSpPr>
        <xdr:cNvPr id="30" name="Arrow: Right 29">
          <a:extLst>
            <a:ext uri="{FF2B5EF4-FFF2-40B4-BE49-F238E27FC236}">
              <a16:creationId xmlns:a16="http://schemas.microsoft.com/office/drawing/2014/main" id="{B4BE5B2A-F0EF-45B5-8FFF-3178407637F8}"/>
            </a:ext>
          </a:extLst>
        </xdr:cNvPr>
        <xdr:cNvSpPr/>
      </xdr:nvSpPr>
      <xdr:spPr>
        <a:xfrm>
          <a:off x="4517857" y="3262965"/>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370975</xdr:colOff>
      <xdr:row>13</xdr:row>
      <xdr:rowOff>124728</xdr:rowOff>
    </xdr:from>
    <xdr:to>
      <xdr:col>13</xdr:col>
      <xdr:colOff>90238</xdr:colOff>
      <xdr:row>15</xdr:row>
      <xdr:rowOff>150396</xdr:rowOff>
    </xdr:to>
    <xdr:sp macro="" textlink="">
      <xdr:nvSpPr>
        <xdr:cNvPr id="31" name="Arrow: Right 30">
          <a:extLst>
            <a:ext uri="{FF2B5EF4-FFF2-40B4-BE49-F238E27FC236}">
              <a16:creationId xmlns:a16="http://schemas.microsoft.com/office/drawing/2014/main" id="{5A02F208-D2D9-47DF-82B9-6713AB504E7D}"/>
            </a:ext>
          </a:extLst>
        </xdr:cNvPr>
        <xdr:cNvSpPr/>
      </xdr:nvSpPr>
      <xdr:spPr>
        <a:xfrm>
          <a:off x="7076575" y="260122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360948</xdr:colOff>
      <xdr:row>17</xdr:row>
      <xdr:rowOff>14438</xdr:rowOff>
    </xdr:from>
    <xdr:to>
      <xdr:col>13</xdr:col>
      <xdr:colOff>80211</xdr:colOff>
      <xdr:row>19</xdr:row>
      <xdr:rowOff>40106</xdr:rowOff>
    </xdr:to>
    <xdr:sp macro="" textlink="">
      <xdr:nvSpPr>
        <xdr:cNvPr id="32" name="Arrow: Right 31">
          <a:extLst>
            <a:ext uri="{FF2B5EF4-FFF2-40B4-BE49-F238E27FC236}">
              <a16:creationId xmlns:a16="http://schemas.microsoft.com/office/drawing/2014/main" id="{E8DA6C7D-32A2-4AD8-9D9B-5D9882250E53}"/>
            </a:ext>
          </a:extLst>
        </xdr:cNvPr>
        <xdr:cNvSpPr/>
      </xdr:nvSpPr>
      <xdr:spPr>
        <a:xfrm>
          <a:off x="7066548" y="325293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13</xdr:row>
      <xdr:rowOff>134755</xdr:rowOff>
    </xdr:from>
    <xdr:to>
      <xdr:col>17</xdr:col>
      <xdr:colOff>250659</xdr:colOff>
      <xdr:row>15</xdr:row>
      <xdr:rowOff>160423</xdr:rowOff>
    </xdr:to>
    <xdr:sp macro="" textlink="">
      <xdr:nvSpPr>
        <xdr:cNvPr id="33" name="Arrow: Right 32">
          <a:extLst>
            <a:ext uri="{FF2B5EF4-FFF2-40B4-BE49-F238E27FC236}">
              <a16:creationId xmlns:a16="http://schemas.microsoft.com/office/drawing/2014/main" id="{FB60C1EE-2816-4900-9B04-73C829B846B9}"/>
            </a:ext>
          </a:extLst>
        </xdr:cNvPr>
        <xdr:cNvSpPr/>
      </xdr:nvSpPr>
      <xdr:spPr>
        <a:xfrm>
          <a:off x="9675396" y="2611255"/>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16</xdr:row>
      <xdr:rowOff>164833</xdr:rowOff>
    </xdr:from>
    <xdr:to>
      <xdr:col>17</xdr:col>
      <xdr:colOff>250659</xdr:colOff>
      <xdr:row>19</xdr:row>
      <xdr:rowOff>1</xdr:rowOff>
    </xdr:to>
    <xdr:sp macro="" textlink="">
      <xdr:nvSpPr>
        <xdr:cNvPr id="34" name="Arrow: Right 33">
          <a:extLst>
            <a:ext uri="{FF2B5EF4-FFF2-40B4-BE49-F238E27FC236}">
              <a16:creationId xmlns:a16="http://schemas.microsoft.com/office/drawing/2014/main" id="{12F2A4F8-665A-4CE3-8EC2-5B097B740FC0}"/>
            </a:ext>
          </a:extLst>
        </xdr:cNvPr>
        <xdr:cNvSpPr/>
      </xdr:nvSpPr>
      <xdr:spPr>
        <a:xfrm>
          <a:off x="9675396" y="32128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370974</xdr:colOff>
      <xdr:row>13</xdr:row>
      <xdr:rowOff>160421</xdr:rowOff>
    </xdr:from>
    <xdr:ext cx="962526" cy="387222"/>
    <xdr:sp macro="" textlink="">
      <xdr:nvSpPr>
        <xdr:cNvPr id="35" name="TextBox 34">
          <a:extLst>
            <a:ext uri="{FF2B5EF4-FFF2-40B4-BE49-F238E27FC236}">
              <a16:creationId xmlns:a16="http://schemas.microsoft.com/office/drawing/2014/main" id="{C3D21F4A-13F9-4F09-B8D4-21D7CC7ACE05}"/>
            </a:ext>
          </a:extLst>
        </xdr:cNvPr>
        <xdr:cNvSpPr txBox="1"/>
      </xdr:nvSpPr>
      <xdr:spPr>
        <a:xfrm>
          <a:off x="10734174" y="2636921"/>
          <a:ext cx="96252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28%</a:t>
          </a:r>
        </a:p>
      </xdr:txBody>
    </xdr:sp>
    <xdr:clientData/>
  </xdr:oneCellAnchor>
  <xdr:twoCellAnchor editAs="oneCell">
    <xdr:from>
      <xdr:col>13</xdr:col>
      <xdr:colOff>340894</xdr:colOff>
      <xdr:row>14</xdr:row>
      <xdr:rowOff>30079</xdr:rowOff>
    </xdr:from>
    <xdr:to>
      <xdr:col>14</xdr:col>
      <xdr:colOff>330869</xdr:colOff>
      <xdr:row>16</xdr:row>
      <xdr:rowOff>10027</xdr:rowOff>
    </xdr:to>
    <xdr:pic>
      <xdr:nvPicPr>
        <xdr:cNvPr id="36" name="Graphic 35" descr="Envelope with solid fill">
          <a:extLst>
            <a:ext uri="{FF2B5EF4-FFF2-40B4-BE49-F238E27FC236}">
              <a16:creationId xmlns:a16="http://schemas.microsoft.com/office/drawing/2014/main" id="{0247CD39-A82B-4EBE-A807-36B8720C6D2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56094" y="2697079"/>
          <a:ext cx="599574" cy="360948"/>
        </a:xfrm>
        <a:prstGeom prst="rect">
          <a:avLst/>
        </a:prstGeom>
      </xdr:spPr>
    </xdr:pic>
    <xdr:clientData/>
  </xdr:twoCellAnchor>
  <xdr:oneCellAnchor>
    <xdr:from>
      <xdr:col>9</xdr:col>
      <xdr:colOff>531394</xdr:colOff>
      <xdr:row>17</xdr:row>
      <xdr:rowOff>80211</xdr:rowOff>
    </xdr:from>
    <xdr:ext cx="1210588" cy="387222"/>
    <xdr:sp macro="" textlink="'Pivot Tables'!D34">
      <xdr:nvSpPr>
        <xdr:cNvPr id="37" name="TextBox 36">
          <a:extLst>
            <a:ext uri="{FF2B5EF4-FFF2-40B4-BE49-F238E27FC236}">
              <a16:creationId xmlns:a16="http://schemas.microsoft.com/office/drawing/2014/main" id="{EFA1B18E-8B0C-44F6-9F4F-2536CC8E2297}"/>
            </a:ext>
          </a:extLst>
        </xdr:cNvPr>
        <xdr:cNvSpPr txBox="1"/>
      </xdr:nvSpPr>
      <xdr:spPr>
        <a:xfrm>
          <a:off x="5408194" y="3318711"/>
          <a:ext cx="121058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3904FF-6C83-4180-9BE7-2580B31D2683}"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16,98,104</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14</xdr:col>
      <xdr:colOff>591553</xdr:colOff>
      <xdr:row>17</xdr:row>
      <xdr:rowOff>130341</xdr:rowOff>
    </xdr:from>
    <xdr:ext cx="902811" cy="298800"/>
    <xdr:sp macro="" textlink="'Pivot Tables'!D35">
      <xdr:nvSpPr>
        <xdr:cNvPr id="38" name="TextBox 37">
          <a:extLst>
            <a:ext uri="{FF2B5EF4-FFF2-40B4-BE49-F238E27FC236}">
              <a16:creationId xmlns:a16="http://schemas.microsoft.com/office/drawing/2014/main" id="{5E53C583-DFFB-4F5F-A1FA-9AD0F266237E}"/>
            </a:ext>
          </a:extLst>
        </xdr:cNvPr>
        <xdr:cNvSpPr txBox="1"/>
      </xdr:nvSpPr>
      <xdr:spPr>
        <a:xfrm>
          <a:off x="8516353" y="3368841"/>
          <a:ext cx="90281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AADADA-FD65-48EC-9726-19193AEBF907}" type="TxLink">
            <a:rPr lang="en-US" sz="1400" b="1" i="0" u="none" strike="noStrike">
              <a:solidFill>
                <a:schemeClr val="tx1"/>
              </a:solidFill>
              <a:latin typeface="Times New Roman" panose="02020603050405020304" pitchFamily="18" charset="0"/>
              <a:ea typeface="Calibri"/>
              <a:cs typeface="Times New Roman" panose="02020603050405020304" pitchFamily="18" charset="0"/>
            </a:rPr>
            <a:pPr/>
            <a:t>27,46,588</a:t>
          </a:fld>
          <a:endParaRPr lang="en-IN" sz="12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260685</xdr:colOff>
      <xdr:row>17</xdr:row>
      <xdr:rowOff>130342</xdr:rowOff>
    </xdr:from>
    <xdr:ext cx="813043" cy="298800"/>
    <xdr:sp macro="" textlink="'Pivot Tables'!D36">
      <xdr:nvSpPr>
        <xdr:cNvPr id="39" name="TextBox 38">
          <a:extLst>
            <a:ext uri="{FF2B5EF4-FFF2-40B4-BE49-F238E27FC236}">
              <a16:creationId xmlns:a16="http://schemas.microsoft.com/office/drawing/2014/main" id="{6C12F8B4-80C0-45F9-9058-EF583E7254B4}"/>
            </a:ext>
          </a:extLst>
        </xdr:cNvPr>
        <xdr:cNvSpPr txBox="1"/>
      </xdr:nvSpPr>
      <xdr:spPr>
        <a:xfrm>
          <a:off x="7575885" y="3368842"/>
          <a:ext cx="81304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C96E4FC-AF95-4AA3-B028-AED144B50190}"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3,58,017</a:t>
          </a:fld>
          <a:endParaRPr lang="en-IN" sz="1400" b="1">
            <a:latin typeface="Times New Roman" panose="02020603050405020304" pitchFamily="18" charset="0"/>
            <a:cs typeface="Times New Roman" panose="02020603050405020304" pitchFamily="18" charset="0"/>
          </a:endParaRPr>
        </a:p>
      </xdr:txBody>
    </xdr:sp>
    <xdr:clientData/>
  </xdr:oneCellAnchor>
  <xdr:oneCellAnchor>
    <xdr:from>
      <xdr:col>14</xdr:col>
      <xdr:colOff>370973</xdr:colOff>
      <xdr:row>17</xdr:row>
      <xdr:rowOff>140367</xdr:rowOff>
    </xdr:from>
    <xdr:ext cx="300789" cy="311496"/>
    <xdr:sp macro="" textlink="">
      <xdr:nvSpPr>
        <xdr:cNvPr id="40" name="TextBox 39">
          <a:extLst>
            <a:ext uri="{FF2B5EF4-FFF2-40B4-BE49-F238E27FC236}">
              <a16:creationId xmlns:a16="http://schemas.microsoft.com/office/drawing/2014/main" id="{DDED7BDB-4FBA-4317-B2CB-7AC96E6E259E}"/>
            </a:ext>
          </a:extLst>
        </xdr:cNvPr>
        <xdr:cNvSpPr txBox="1"/>
      </xdr:nvSpPr>
      <xdr:spPr>
        <a:xfrm>
          <a:off x="8295773" y="3378867"/>
          <a:ext cx="3007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&amp;</a:t>
          </a:r>
        </a:p>
      </xdr:txBody>
    </xdr:sp>
    <xdr:clientData/>
  </xdr:oneCellAnchor>
  <xdr:twoCellAnchor editAs="oneCell">
    <xdr:from>
      <xdr:col>9</xdr:col>
      <xdr:colOff>190502</xdr:colOff>
      <xdr:row>17</xdr:row>
      <xdr:rowOff>90237</xdr:rowOff>
    </xdr:from>
    <xdr:to>
      <xdr:col>10</xdr:col>
      <xdr:colOff>1</xdr:colOff>
      <xdr:row>19</xdr:row>
      <xdr:rowOff>130342</xdr:rowOff>
    </xdr:to>
    <xdr:pic>
      <xdr:nvPicPr>
        <xdr:cNvPr id="41" name="Graphic 40" descr="Coins with solid fill">
          <a:extLst>
            <a:ext uri="{FF2B5EF4-FFF2-40B4-BE49-F238E27FC236}">
              <a16:creationId xmlns:a16="http://schemas.microsoft.com/office/drawing/2014/main" id="{04A75210-BC35-4A1B-864B-97A761E4760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67302" y="3328737"/>
          <a:ext cx="419100" cy="421105"/>
        </a:xfrm>
        <a:prstGeom prst="rect">
          <a:avLst/>
        </a:prstGeom>
      </xdr:spPr>
    </xdr:pic>
    <xdr:clientData/>
  </xdr:twoCellAnchor>
  <xdr:oneCellAnchor>
    <xdr:from>
      <xdr:col>18</xdr:col>
      <xdr:colOff>360948</xdr:colOff>
      <xdr:row>17</xdr:row>
      <xdr:rowOff>80210</xdr:rowOff>
    </xdr:from>
    <xdr:ext cx="505267" cy="387222"/>
    <xdr:sp macro="" textlink="">
      <xdr:nvSpPr>
        <xdr:cNvPr id="42" name="TextBox 41">
          <a:extLst>
            <a:ext uri="{FF2B5EF4-FFF2-40B4-BE49-F238E27FC236}">
              <a16:creationId xmlns:a16="http://schemas.microsoft.com/office/drawing/2014/main" id="{6ADD94FA-D240-4C48-B45B-422734842AAB}"/>
            </a:ext>
          </a:extLst>
        </xdr:cNvPr>
        <xdr:cNvSpPr txBox="1"/>
      </xdr:nvSpPr>
      <xdr:spPr>
        <a:xfrm>
          <a:off x="10665266" y="3269642"/>
          <a:ext cx="50526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3.6</a:t>
          </a:r>
        </a:p>
      </xdr:txBody>
    </xdr:sp>
    <xdr:clientData/>
  </xdr:oneCellAnchor>
  <xdr:twoCellAnchor editAs="oneCell">
    <xdr:from>
      <xdr:col>17</xdr:col>
      <xdr:colOff>531396</xdr:colOff>
      <xdr:row>17</xdr:row>
      <xdr:rowOff>110290</xdr:rowOff>
    </xdr:from>
    <xdr:to>
      <xdr:col>18</xdr:col>
      <xdr:colOff>290763</xdr:colOff>
      <xdr:row>19</xdr:row>
      <xdr:rowOff>100263</xdr:rowOff>
    </xdr:to>
    <xdr:pic>
      <xdr:nvPicPr>
        <xdr:cNvPr id="43" name="Graphic 42" descr="Briefcase with solid fill">
          <a:extLst>
            <a:ext uri="{FF2B5EF4-FFF2-40B4-BE49-F238E27FC236}">
              <a16:creationId xmlns:a16="http://schemas.microsoft.com/office/drawing/2014/main" id="{8B5ECC76-B7F6-4673-97DA-1AF3F2B6159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284996" y="3348790"/>
          <a:ext cx="368968" cy="370973"/>
        </a:xfrm>
        <a:prstGeom prst="rect">
          <a:avLst/>
        </a:prstGeom>
      </xdr:spPr>
    </xdr:pic>
    <xdr:clientData/>
  </xdr:twoCellAnchor>
  <xdr:oneCellAnchor>
    <xdr:from>
      <xdr:col>5</xdr:col>
      <xdr:colOff>100263</xdr:colOff>
      <xdr:row>13</xdr:row>
      <xdr:rowOff>0</xdr:rowOff>
    </xdr:from>
    <xdr:ext cx="1579535" cy="250657"/>
    <xdr:sp macro="" textlink="">
      <xdr:nvSpPr>
        <xdr:cNvPr id="44" name="TextBox 43">
          <a:extLst>
            <a:ext uri="{FF2B5EF4-FFF2-40B4-BE49-F238E27FC236}">
              <a16:creationId xmlns:a16="http://schemas.microsoft.com/office/drawing/2014/main" id="{D208AC25-B392-436A-A08E-4F169CD796F8}"/>
            </a:ext>
          </a:extLst>
        </xdr:cNvPr>
        <xdr:cNvSpPr txBox="1"/>
      </xdr:nvSpPr>
      <xdr:spPr>
        <a:xfrm>
          <a:off x="2538663" y="2476500"/>
          <a:ext cx="1579535" cy="25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Applications:</a:t>
          </a:r>
          <a:endParaRPr lang="en-IN" sz="1400" b="1">
            <a:solidFill>
              <a:schemeClr val="tx1"/>
            </a:solidFill>
            <a:effectLst/>
          </a:endParaRPr>
        </a:p>
        <a:p>
          <a:endParaRPr lang="en-IN" sz="1100"/>
        </a:p>
      </xdr:txBody>
    </xdr:sp>
    <xdr:clientData/>
  </xdr:oneCellAnchor>
  <xdr:oneCellAnchor>
    <xdr:from>
      <xdr:col>9</xdr:col>
      <xdr:colOff>142279</xdr:colOff>
      <xdr:row>13</xdr:row>
      <xdr:rowOff>47722</xdr:rowOff>
    </xdr:from>
    <xdr:ext cx="184731" cy="264560"/>
    <xdr:sp macro="" textlink="">
      <xdr:nvSpPr>
        <xdr:cNvPr id="45" name="TextBox 44">
          <a:extLst>
            <a:ext uri="{FF2B5EF4-FFF2-40B4-BE49-F238E27FC236}">
              <a16:creationId xmlns:a16="http://schemas.microsoft.com/office/drawing/2014/main" id="{ED4E33D0-3AF7-48E9-B897-E7A3F53CBD8E}"/>
            </a:ext>
          </a:extLst>
        </xdr:cNvPr>
        <xdr:cNvSpPr txBox="1"/>
      </xdr:nvSpPr>
      <xdr:spPr>
        <a:xfrm>
          <a:off x="5019079" y="2524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164337</xdr:colOff>
      <xdr:row>12</xdr:row>
      <xdr:rowOff>190096</xdr:rowOff>
    </xdr:from>
    <xdr:ext cx="1048847" cy="311496"/>
    <xdr:sp macro="" textlink="">
      <xdr:nvSpPr>
        <xdr:cNvPr id="46" name="TextBox 45">
          <a:extLst>
            <a:ext uri="{FF2B5EF4-FFF2-40B4-BE49-F238E27FC236}">
              <a16:creationId xmlns:a16="http://schemas.microsoft.com/office/drawing/2014/main" id="{FDFB3E3E-0F05-4618-9EED-ED227CBC8F92}"/>
            </a:ext>
          </a:extLst>
        </xdr:cNvPr>
        <xdr:cNvSpPr txBox="1"/>
      </xdr:nvSpPr>
      <xdr:spPr>
        <a:xfrm>
          <a:off x="5041137" y="2476096"/>
          <a:ext cx="10488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Interviews:</a:t>
          </a:r>
        </a:p>
      </xdr:txBody>
    </xdr:sp>
    <xdr:clientData/>
  </xdr:oneCellAnchor>
  <xdr:oneCellAnchor>
    <xdr:from>
      <xdr:col>13</xdr:col>
      <xdr:colOff>320842</xdr:colOff>
      <xdr:row>12</xdr:row>
      <xdr:rowOff>190499</xdr:rowOff>
    </xdr:from>
    <xdr:ext cx="731921" cy="310817"/>
    <xdr:sp macro="" textlink="">
      <xdr:nvSpPr>
        <xdr:cNvPr id="47" name="TextBox 46">
          <a:extLst>
            <a:ext uri="{FF2B5EF4-FFF2-40B4-BE49-F238E27FC236}">
              <a16:creationId xmlns:a16="http://schemas.microsoft.com/office/drawing/2014/main" id="{741952C8-4B76-426A-A379-D4C6FEBA9E3A}"/>
            </a:ext>
          </a:extLst>
        </xdr:cNvPr>
        <xdr:cNvSpPr txBox="1"/>
      </xdr:nvSpPr>
      <xdr:spPr>
        <a:xfrm>
          <a:off x="7636042" y="2476499"/>
          <a:ext cx="731921" cy="310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Offers:</a:t>
          </a:r>
          <a:endParaRPr lang="en-IN" sz="1400" b="1">
            <a:solidFill>
              <a:schemeClr val="tx1"/>
            </a:solidFill>
            <a:effectLst/>
          </a:endParaRPr>
        </a:p>
        <a:p>
          <a:endParaRPr lang="en-IN" sz="1100"/>
        </a:p>
      </xdr:txBody>
    </xdr:sp>
    <xdr:clientData/>
  </xdr:oneCellAnchor>
  <xdr:oneCellAnchor>
    <xdr:from>
      <xdr:col>17</xdr:col>
      <xdr:colOff>431133</xdr:colOff>
      <xdr:row>13</xdr:row>
      <xdr:rowOff>0</xdr:rowOff>
    </xdr:from>
    <xdr:ext cx="1534026" cy="310816"/>
    <xdr:sp macro="" textlink="">
      <xdr:nvSpPr>
        <xdr:cNvPr id="48" name="TextBox 47">
          <a:extLst>
            <a:ext uri="{FF2B5EF4-FFF2-40B4-BE49-F238E27FC236}">
              <a16:creationId xmlns:a16="http://schemas.microsoft.com/office/drawing/2014/main" id="{99C9BCF8-4AF6-48FF-83F8-2F83C33A4E97}"/>
            </a:ext>
          </a:extLst>
        </xdr:cNvPr>
        <xdr:cNvSpPr txBox="1"/>
      </xdr:nvSpPr>
      <xdr:spPr>
        <a:xfrm>
          <a:off x="10184733" y="2476500"/>
          <a:ext cx="1534026" cy="310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Times New Roman" panose="02020603050405020304" pitchFamily="18" charset="0"/>
            </a:rPr>
            <a:t>Acceptance Rate:</a:t>
          </a:r>
          <a:endParaRPr lang="en-IN" sz="1400" b="1">
            <a:effectLst/>
            <a:latin typeface="+mn-lt"/>
            <a:cs typeface="Times New Roman" panose="02020603050405020304" pitchFamily="18" charset="0"/>
          </a:endParaRPr>
        </a:p>
        <a:p>
          <a:endParaRPr lang="en-IN" sz="1100"/>
        </a:p>
      </xdr:txBody>
    </xdr:sp>
    <xdr:clientData/>
  </xdr:oneCellAnchor>
  <xdr:oneCellAnchor>
    <xdr:from>
      <xdr:col>5</xdr:col>
      <xdr:colOff>100264</xdr:colOff>
      <xdr:row>16</xdr:row>
      <xdr:rowOff>90237</xdr:rowOff>
    </xdr:from>
    <xdr:ext cx="1319207" cy="370974"/>
    <xdr:sp macro="" textlink="">
      <xdr:nvSpPr>
        <xdr:cNvPr id="49" name="TextBox 48">
          <a:extLst>
            <a:ext uri="{FF2B5EF4-FFF2-40B4-BE49-F238E27FC236}">
              <a16:creationId xmlns:a16="http://schemas.microsoft.com/office/drawing/2014/main" id="{EA9235E3-F815-49B3-8BC8-C123B6D03C0A}"/>
            </a:ext>
          </a:extLst>
        </xdr:cNvPr>
        <xdr:cNvSpPr txBox="1"/>
      </xdr:nvSpPr>
      <xdr:spPr>
        <a:xfrm>
          <a:off x="2538664" y="3138237"/>
          <a:ext cx="1319207" cy="370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Rejection Rate:</a:t>
          </a:r>
          <a:endParaRPr lang="en-IN">
            <a:effectLst/>
          </a:endParaRPr>
        </a:p>
      </xdr:txBody>
    </xdr:sp>
    <xdr:clientData/>
  </xdr:oneCellAnchor>
  <xdr:oneCellAnchor>
    <xdr:from>
      <xdr:col>9</xdr:col>
      <xdr:colOff>90236</xdr:colOff>
      <xdr:row>16</xdr:row>
      <xdr:rowOff>70183</xdr:rowOff>
    </xdr:from>
    <xdr:ext cx="1112921" cy="350922"/>
    <xdr:sp macro="" textlink="">
      <xdr:nvSpPr>
        <xdr:cNvPr id="50" name="TextBox 49">
          <a:extLst>
            <a:ext uri="{FF2B5EF4-FFF2-40B4-BE49-F238E27FC236}">
              <a16:creationId xmlns:a16="http://schemas.microsoft.com/office/drawing/2014/main" id="{22D97760-D815-47E2-B087-B7E519933B8F}"/>
            </a:ext>
          </a:extLst>
        </xdr:cNvPr>
        <xdr:cNvSpPr txBox="1"/>
      </xdr:nvSpPr>
      <xdr:spPr>
        <a:xfrm>
          <a:off x="4967036" y="3118183"/>
          <a:ext cx="1112921" cy="350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Salary:</a:t>
          </a:r>
          <a:endParaRPr lang="en-IN" sz="1400">
            <a:effectLst/>
          </a:endParaRPr>
        </a:p>
        <a:p>
          <a:endParaRPr lang="en-IN" sz="1100"/>
        </a:p>
      </xdr:txBody>
    </xdr:sp>
    <xdr:clientData/>
  </xdr:oneCellAnchor>
  <xdr:oneCellAnchor>
    <xdr:from>
      <xdr:col>21</xdr:col>
      <xdr:colOff>471237</xdr:colOff>
      <xdr:row>14</xdr:row>
      <xdr:rowOff>60158</xdr:rowOff>
    </xdr:from>
    <xdr:ext cx="184731" cy="264560"/>
    <xdr:sp macro="" textlink="">
      <xdr:nvSpPr>
        <xdr:cNvPr id="51" name="TextBox 50">
          <a:extLst>
            <a:ext uri="{FF2B5EF4-FFF2-40B4-BE49-F238E27FC236}">
              <a16:creationId xmlns:a16="http://schemas.microsoft.com/office/drawing/2014/main" id="{7CBB1CCF-E935-435B-BBBA-9AA7D50F3D11}"/>
            </a:ext>
          </a:extLst>
        </xdr:cNvPr>
        <xdr:cNvSpPr txBox="1"/>
      </xdr:nvSpPr>
      <xdr:spPr>
        <a:xfrm>
          <a:off x="12663237" y="27271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13</xdr:col>
      <xdr:colOff>220579</xdr:colOff>
      <xdr:row>16</xdr:row>
      <xdr:rowOff>80210</xdr:rowOff>
    </xdr:from>
    <xdr:to>
      <xdr:col>15</xdr:col>
      <xdr:colOff>576370</xdr:colOff>
      <xdr:row>18</xdr:row>
      <xdr:rowOff>83291</xdr:rowOff>
    </xdr:to>
    <xdr:pic>
      <xdr:nvPicPr>
        <xdr:cNvPr id="52" name="Picture 51">
          <a:extLst>
            <a:ext uri="{FF2B5EF4-FFF2-40B4-BE49-F238E27FC236}">
              <a16:creationId xmlns:a16="http://schemas.microsoft.com/office/drawing/2014/main" id="{9F47948E-9BDE-4650-8AF6-8E2723F5B154}"/>
            </a:ext>
          </a:extLst>
        </xdr:cNvPr>
        <xdr:cNvPicPr>
          <a:picLocks noChangeAspect="1"/>
        </xdr:cNvPicPr>
      </xdr:nvPicPr>
      <xdr:blipFill>
        <a:blip xmlns:r="http://schemas.openxmlformats.org/officeDocument/2006/relationships" r:embed="rId15"/>
        <a:stretch>
          <a:fillRect/>
        </a:stretch>
      </xdr:blipFill>
      <xdr:spPr>
        <a:xfrm>
          <a:off x="7535779" y="3128210"/>
          <a:ext cx="1574990" cy="384081"/>
        </a:xfrm>
        <a:prstGeom prst="rect">
          <a:avLst/>
        </a:prstGeom>
      </xdr:spPr>
    </xdr:pic>
    <xdr:clientData/>
  </xdr:twoCellAnchor>
  <xdr:oneCellAnchor>
    <xdr:from>
      <xdr:col>17</xdr:col>
      <xdr:colOff>461211</xdr:colOff>
      <xdr:row>16</xdr:row>
      <xdr:rowOff>70184</xdr:rowOff>
    </xdr:from>
    <xdr:ext cx="1370824" cy="340895"/>
    <xdr:sp macro="" textlink="">
      <xdr:nvSpPr>
        <xdr:cNvPr id="53" name="TextBox 52">
          <a:extLst>
            <a:ext uri="{FF2B5EF4-FFF2-40B4-BE49-F238E27FC236}">
              <a16:creationId xmlns:a16="http://schemas.microsoft.com/office/drawing/2014/main" id="{85595CB5-65B8-486F-A057-186B03549BAA}"/>
            </a:ext>
          </a:extLst>
        </xdr:cNvPr>
        <xdr:cNvSpPr txBox="1"/>
      </xdr:nvSpPr>
      <xdr:spPr>
        <a:xfrm>
          <a:off x="10214811" y="3118184"/>
          <a:ext cx="1370824" cy="340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Experience:</a:t>
          </a:r>
          <a:endParaRPr lang="en-IN" sz="1400">
            <a:effectLst/>
          </a:endParaRPr>
        </a:p>
        <a:p>
          <a:endParaRPr lang="en-IN" sz="1100"/>
        </a:p>
      </xdr:txBody>
    </xdr:sp>
    <xdr:clientData/>
  </xdr:oneCellAnchor>
  <xdr:twoCellAnchor>
    <xdr:from>
      <xdr:col>1</xdr:col>
      <xdr:colOff>280737</xdr:colOff>
      <xdr:row>11</xdr:row>
      <xdr:rowOff>60158</xdr:rowOff>
    </xdr:from>
    <xdr:to>
      <xdr:col>3</xdr:col>
      <xdr:colOff>391026</xdr:colOff>
      <xdr:row>13</xdr:row>
      <xdr:rowOff>70184</xdr:rowOff>
    </xdr:to>
    <xdr:sp macro="" textlink="">
      <xdr:nvSpPr>
        <xdr:cNvPr id="54" name="Rectangle: Rounded Corners 53">
          <a:hlinkClick xmlns:r="http://schemas.openxmlformats.org/officeDocument/2006/relationships" r:id="rId16"/>
          <a:extLst>
            <a:ext uri="{FF2B5EF4-FFF2-40B4-BE49-F238E27FC236}">
              <a16:creationId xmlns:a16="http://schemas.microsoft.com/office/drawing/2014/main" id="{2C7A3158-2F2F-4384-8985-8E6B12E74FFC}"/>
            </a:ext>
          </a:extLst>
        </xdr:cNvPr>
        <xdr:cNvSpPr/>
      </xdr:nvSpPr>
      <xdr:spPr>
        <a:xfrm>
          <a:off x="280737" y="2155658"/>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Dashboard</a:t>
          </a:r>
          <a:r>
            <a:rPr lang="en-IN"/>
            <a:t> </a:t>
          </a:r>
          <a:endParaRPr lang="en-IN" sz="1100"/>
        </a:p>
      </xdr:txBody>
    </xdr:sp>
    <xdr:clientData/>
  </xdr:twoCellAnchor>
  <xdr:twoCellAnchor>
    <xdr:from>
      <xdr:col>1</xdr:col>
      <xdr:colOff>280737</xdr:colOff>
      <xdr:row>14</xdr:row>
      <xdr:rowOff>80211</xdr:rowOff>
    </xdr:from>
    <xdr:to>
      <xdr:col>3</xdr:col>
      <xdr:colOff>391026</xdr:colOff>
      <xdr:row>16</xdr:row>
      <xdr:rowOff>90237</xdr:rowOff>
    </xdr:to>
    <xdr:sp macro="" textlink="">
      <xdr:nvSpPr>
        <xdr:cNvPr id="55" name="Rectangle: Rounded Corners 54">
          <a:hlinkClick xmlns:r="http://schemas.openxmlformats.org/officeDocument/2006/relationships" r:id="rId17"/>
          <a:extLst>
            <a:ext uri="{FF2B5EF4-FFF2-40B4-BE49-F238E27FC236}">
              <a16:creationId xmlns:a16="http://schemas.microsoft.com/office/drawing/2014/main" id="{FFD37D23-D50B-4EEF-B6F6-D510345D06D2}"/>
            </a:ext>
          </a:extLst>
        </xdr:cNvPr>
        <xdr:cNvSpPr/>
      </xdr:nvSpPr>
      <xdr:spPr>
        <a:xfrm>
          <a:off x="280737" y="2747211"/>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Recruitment</a:t>
          </a:r>
          <a:r>
            <a:rPr lang="en-IN">
              <a:solidFill>
                <a:schemeClr val="bg1"/>
              </a:solidFill>
            </a:rPr>
            <a:t> </a:t>
          </a:r>
          <a:endParaRPr lang="en-IN" sz="1100">
            <a:solidFill>
              <a:schemeClr val="bg1"/>
            </a:solidFill>
          </a:endParaRPr>
        </a:p>
      </xdr:txBody>
    </xdr:sp>
    <xdr:clientData/>
  </xdr:twoCellAnchor>
  <xdr:twoCellAnchor>
    <xdr:from>
      <xdr:col>1</xdr:col>
      <xdr:colOff>270711</xdr:colOff>
      <xdr:row>17</xdr:row>
      <xdr:rowOff>100263</xdr:rowOff>
    </xdr:from>
    <xdr:to>
      <xdr:col>3</xdr:col>
      <xdr:colOff>381000</xdr:colOff>
      <xdr:row>19</xdr:row>
      <xdr:rowOff>110289</xdr:rowOff>
    </xdr:to>
    <xdr:sp macro="" textlink="">
      <xdr:nvSpPr>
        <xdr:cNvPr id="56" name="Rectangle: Rounded Corners 55">
          <a:hlinkClick xmlns:r="http://schemas.openxmlformats.org/officeDocument/2006/relationships" r:id="rId18"/>
          <a:extLst>
            <a:ext uri="{FF2B5EF4-FFF2-40B4-BE49-F238E27FC236}">
              <a16:creationId xmlns:a16="http://schemas.microsoft.com/office/drawing/2014/main" id="{BA92CE94-FC5A-4176-8A36-7A1D279B4E2C}"/>
            </a:ext>
          </a:extLst>
        </xdr:cNvPr>
        <xdr:cNvSpPr/>
      </xdr:nvSpPr>
      <xdr:spPr>
        <a:xfrm>
          <a:off x="270711" y="3338763"/>
          <a:ext cx="1329489" cy="39102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Experience</a:t>
          </a:r>
          <a:endParaRPr lang="en-IN" sz="1100" b="1">
            <a:solidFill>
              <a:schemeClr val="tx1"/>
            </a:solidFill>
          </a:endParaRPr>
        </a:p>
      </xdr:txBody>
    </xdr:sp>
    <xdr:clientData/>
  </xdr:twoCellAnchor>
  <xdr:twoCellAnchor>
    <xdr:from>
      <xdr:col>1</xdr:col>
      <xdr:colOff>280738</xdr:colOff>
      <xdr:row>20</xdr:row>
      <xdr:rowOff>130342</xdr:rowOff>
    </xdr:from>
    <xdr:to>
      <xdr:col>3</xdr:col>
      <xdr:colOff>391027</xdr:colOff>
      <xdr:row>22</xdr:row>
      <xdr:rowOff>140368</xdr:rowOff>
    </xdr:to>
    <xdr:sp macro="" textlink="">
      <xdr:nvSpPr>
        <xdr:cNvPr id="57" name="Rectangle: Rounded Corners 56">
          <a:hlinkClick xmlns:r="http://schemas.openxmlformats.org/officeDocument/2006/relationships" r:id="rId19"/>
          <a:extLst>
            <a:ext uri="{FF2B5EF4-FFF2-40B4-BE49-F238E27FC236}">
              <a16:creationId xmlns:a16="http://schemas.microsoft.com/office/drawing/2014/main" id="{CB77E74F-8AC7-46D6-B060-ED67864DEB39}"/>
            </a:ext>
          </a:extLst>
        </xdr:cNvPr>
        <xdr:cNvSpPr/>
      </xdr:nvSpPr>
      <xdr:spPr>
        <a:xfrm>
          <a:off x="280738" y="3940342"/>
          <a:ext cx="1329489" cy="39102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t>Salary</a:t>
          </a:r>
          <a:endParaRPr lang="en-IN" sz="1100"/>
        </a:p>
      </xdr:txBody>
    </xdr:sp>
    <xdr:clientData/>
  </xdr:twoCellAnchor>
  <xdr:twoCellAnchor>
    <xdr:from>
      <xdr:col>13</xdr:col>
      <xdr:colOff>73269</xdr:colOff>
      <xdr:row>22</xdr:row>
      <xdr:rowOff>166135</xdr:rowOff>
    </xdr:from>
    <xdr:to>
      <xdr:col>20</xdr:col>
      <xdr:colOff>209341</xdr:colOff>
      <xdr:row>33</xdr:row>
      <xdr:rowOff>20935</xdr:rowOff>
    </xdr:to>
    <xdr:sp macro="" textlink="">
      <xdr:nvSpPr>
        <xdr:cNvPr id="60" name="Rectangle 59">
          <a:extLst>
            <a:ext uri="{FF2B5EF4-FFF2-40B4-BE49-F238E27FC236}">
              <a16:creationId xmlns:a16="http://schemas.microsoft.com/office/drawing/2014/main" id="{F268E12C-6415-4CB4-9DDD-599BD8D773B1}"/>
            </a:ext>
          </a:extLst>
        </xdr:cNvPr>
        <xdr:cNvSpPr/>
      </xdr:nvSpPr>
      <xdr:spPr>
        <a:xfrm>
          <a:off x="7383153" y="4308402"/>
          <a:ext cx="4400171" cy="1925934"/>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u="sng">
              <a:solidFill>
                <a:schemeClr val="tx1"/>
              </a:solidFill>
            </a:rPr>
            <a:t>Note:</a:t>
          </a:r>
          <a:r>
            <a:rPr lang="en-IN" sz="1300" b="1">
              <a:solidFill>
                <a:schemeClr val="tx1"/>
              </a:solidFill>
            </a:rPr>
            <a:t>This dashboard provides a focused analysis of candidate experience, showcasing how experience levels are distributed across companies and roles. It highlights total experience contribution and the balance between different experience groups.Through clear visuals and interactive filtering, it enables users to identify patterns in workforce experience, compare company-wise contributions, and gain insights into the overall experience landscape for better planning and decision-making.</a:t>
          </a:r>
        </a:p>
        <a:p>
          <a:endParaRPr lang="en-IN" sz="1300" b="1">
            <a:solidFill>
              <a:schemeClr val="tx1"/>
            </a:solidFill>
          </a:endParaRPr>
        </a:p>
        <a:p>
          <a:endParaRPr lang="en-IN" sz="1100"/>
        </a:p>
      </xdr:txBody>
    </xdr:sp>
    <xdr:clientData/>
  </xdr:twoCellAnchor>
  <xdr:twoCellAnchor>
    <xdr:from>
      <xdr:col>4</xdr:col>
      <xdr:colOff>604157</xdr:colOff>
      <xdr:row>22</xdr:row>
      <xdr:rowOff>104672</xdr:rowOff>
    </xdr:from>
    <xdr:to>
      <xdr:col>12</xdr:col>
      <xdr:colOff>176462</xdr:colOff>
      <xdr:row>33</xdr:row>
      <xdr:rowOff>73269</xdr:rowOff>
    </xdr:to>
    <xdr:graphicFrame macro="">
      <xdr:nvGraphicFramePr>
        <xdr:cNvPr id="61" name="Chart 60">
          <a:extLst>
            <a:ext uri="{FF2B5EF4-FFF2-40B4-BE49-F238E27FC236}">
              <a16:creationId xmlns:a16="http://schemas.microsoft.com/office/drawing/2014/main" id="{F1B0805F-F659-4BFB-9F61-ABCED9115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4</xdr:col>
      <xdr:colOff>593690</xdr:colOff>
      <xdr:row>33</xdr:row>
      <xdr:rowOff>188405</xdr:rowOff>
    </xdr:from>
    <xdr:to>
      <xdr:col>12</xdr:col>
      <xdr:colOff>198874</xdr:colOff>
      <xdr:row>48</xdr:row>
      <xdr:rowOff>10468</xdr:rowOff>
    </xdr:to>
    <xdr:graphicFrame macro="">
      <xdr:nvGraphicFramePr>
        <xdr:cNvPr id="6" name="Chart 5">
          <a:extLst>
            <a:ext uri="{FF2B5EF4-FFF2-40B4-BE49-F238E27FC236}">
              <a16:creationId xmlns:a16="http://schemas.microsoft.com/office/drawing/2014/main" id="{421F0D04-9C0B-4363-8005-F254863A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13</xdr:col>
      <xdr:colOff>49406</xdr:colOff>
      <xdr:row>33</xdr:row>
      <xdr:rowOff>157004</xdr:rowOff>
    </xdr:from>
    <xdr:to>
      <xdr:col>20</xdr:col>
      <xdr:colOff>219809</xdr:colOff>
      <xdr:row>48</xdr:row>
      <xdr:rowOff>74106</xdr:rowOff>
    </xdr:to>
    <xdr:graphicFrame macro="">
      <xdr:nvGraphicFramePr>
        <xdr:cNvPr id="7" name="Chart 6">
          <a:extLst>
            <a:ext uri="{FF2B5EF4-FFF2-40B4-BE49-F238E27FC236}">
              <a16:creationId xmlns:a16="http://schemas.microsoft.com/office/drawing/2014/main" id="{A6FE4F91-58B9-47D5-BE7C-E43A2BCD0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5</xdr:col>
      <xdr:colOff>539979</xdr:colOff>
      <xdr:row>17</xdr:row>
      <xdr:rowOff>90511</xdr:rowOff>
    </xdr:from>
    <xdr:ext cx="631583" cy="405432"/>
    <xdr:sp macro="" textlink="">
      <xdr:nvSpPr>
        <xdr:cNvPr id="58" name="TextBox 57">
          <a:extLst>
            <a:ext uri="{FF2B5EF4-FFF2-40B4-BE49-F238E27FC236}">
              <a16:creationId xmlns:a16="http://schemas.microsoft.com/office/drawing/2014/main" id="{DF51EDD0-DE22-41CB-96ED-5A0C941B987C}"/>
            </a:ext>
          </a:extLst>
        </xdr:cNvPr>
        <xdr:cNvSpPr txBox="1"/>
      </xdr:nvSpPr>
      <xdr:spPr>
        <a:xfrm>
          <a:off x="2964524" y="3279943"/>
          <a:ext cx="631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23%</a:t>
          </a:r>
        </a:p>
      </xdr:txBody>
    </xdr:sp>
    <xdr:clientData/>
  </xdr:oneCellAnchor>
  <xdr:twoCellAnchor editAs="oneCell">
    <xdr:from>
      <xdr:col>5</xdr:col>
      <xdr:colOff>163410</xdr:colOff>
      <xdr:row>17</xdr:row>
      <xdr:rowOff>101587</xdr:rowOff>
    </xdr:from>
    <xdr:to>
      <xdr:col>5</xdr:col>
      <xdr:colOff>573346</xdr:colOff>
      <xdr:row>19</xdr:row>
      <xdr:rowOff>130131</xdr:rowOff>
    </xdr:to>
    <xdr:pic>
      <xdr:nvPicPr>
        <xdr:cNvPr id="59" name="Graphic 58" descr="Close with solid fill">
          <a:extLst>
            <a:ext uri="{FF2B5EF4-FFF2-40B4-BE49-F238E27FC236}">
              <a16:creationId xmlns:a16="http://schemas.microsoft.com/office/drawing/2014/main" id="{55DA6E9A-EFCE-4789-8AA4-FFBF55EE56A6}"/>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600038" y="3302430"/>
          <a:ext cx="409936" cy="405114"/>
        </a:xfrm>
        <a:prstGeom prst="rect">
          <a:avLst/>
        </a:prstGeom>
      </xdr:spPr>
    </xdr:pic>
    <xdr:clientData/>
  </xdr:twoCellAnchor>
  <xdr:twoCellAnchor editAs="oneCell">
    <xdr:from>
      <xdr:col>1</xdr:col>
      <xdr:colOff>44303</xdr:colOff>
      <xdr:row>0</xdr:row>
      <xdr:rowOff>66454</xdr:rowOff>
    </xdr:from>
    <xdr:to>
      <xdr:col>3</xdr:col>
      <xdr:colOff>546082</xdr:colOff>
      <xdr:row>6</xdr:row>
      <xdr:rowOff>133383</xdr:rowOff>
    </xdr:to>
    <xdr:pic>
      <xdr:nvPicPr>
        <xdr:cNvPr id="62" name="Picture 61">
          <a:extLst>
            <a:ext uri="{FF2B5EF4-FFF2-40B4-BE49-F238E27FC236}">
              <a16:creationId xmlns:a16="http://schemas.microsoft.com/office/drawing/2014/main" id="{3B73D746-5F60-4226-BE62-73A1F696E9E1}"/>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44303" y="66454"/>
          <a:ext cx="1720093" cy="1196638"/>
        </a:xfrm>
        <a:prstGeom prst="ellipse">
          <a:avLst/>
        </a:prstGeom>
        <a:ln w="63500" cap="rnd">
          <a:solidFill>
            <a:schemeClr val="bg1">
              <a:lumMod val="9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4</xdr:col>
      <xdr:colOff>0</xdr:colOff>
      <xdr:row>48</xdr:row>
      <xdr:rowOff>186938</xdr:rowOff>
    </xdr:to>
    <xdr:sp macro="" textlink="">
      <xdr:nvSpPr>
        <xdr:cNvPr id="2" name="Rectangle 1">
          <a:extLst>
            <a:ext uri="{FF2B5EF4-FFF2-40B4-BE49-F238E27FC236}">
              <a16:creationId xmlns:a16="http://schemas.microsoft.com/office/drawing/2014/main" id="{7C7A1E89-F128-49DC-A0E0-5D635F739835}"/>
            </a:ext>
          </a:extLst>
        </xdr:cNvPr>
        <xdr:cNvSpPr/>
      </xdr:nvSpPr>
      <xdr:spPr>
        <a:xfrm>
          <a:off x="0" y="0"/>
          <a:ext cx="1828800" cy="9330938"/>
        </a:xfrm>
        <a:prstGeom prst="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0</xdr:row>
      <xdr:rowOff>0</xdr:rowOff>
    </xdr:from>
    <xdr:to>
      <xdr:col>21</xdr:col>
      <xdr:colOff>0</xdr:colOff>
      <xdr:row>48</xdr:row>
      <xdr:rowOff>186938</xdr:rowOff>
    </xdr:to>
    <xdr:sp macro="" textlink="">
      <xdr:nvSpPr>
        <xdr:cNvPr id="3" name="Rectangle 2">
          <a:extLst>
            <a:ext uri="{FF2B5EF4-FFF2-40B4-BE49-F238E27FC236}">
              <a16:creationId xmlns:a16="http://schemas.microsoft.com/office/drawing/2014/main" id="{910D2EC7-2A72-434C-A5A8-96F65E40397A}"/>
            </a:ext>
          </a:extLst>
        </xdr:cNvPr>
        <xdr:cNvSpPr/>
      </xdr:nvSpPr>
      <xdr:spPr>
        <a:xfrm>
          <a:off x="1827471" y="0"/>
          <a:ext cx="10355669" cy="9224612"/>
        </a:xfrm>
        <a:prstGeom prst="rect">
          <a:avLst/>
        </a:prstGeom>
        <a:solidFill>
          <a:srgbClr val="A6A6A6">
            <a:alpha val="81176"/>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191925</xdr:colOff>
      <xdr:row>20</xdr:row>
      <xdr:rowOff>0</xdr:rowOff>
    </xdr:from>
    <xdr:to>
      <xdr:col>20</xdr:col>
      <xdr:colOff>382780</xdr:colOff>
      <xdr:row>22</xdr:row>
      <xdr:rowOff>33115</xdr:rowOff>
    </xdr:to>
    <xdr:sp macro="" textlink="">
      <xdr:nvSpPr>
        <xdr:cNvPr id="4" name="Rectangle: Rounded Corners 3">
          <a:extLst>
            <a:ext uri="{FF2B5EF4-FFF2-40B4-BE49-F238E27FC236}">
              <a16:creationId xmlns:a16="http://schemas.microsoft.com/office/drawing/2014/main" id="{72094A0C-1419-4700-BD90-829C68D7DFAB}"/>
            </a:ext>
          </a:extLst>
        </xdr:cNvPr>
        <xdr:cNvSpPr/>
      </xdr:nvSpPr>
      <xdr:spPr>
        <a:xfrm>
          <a:off x="2020725" y="3810000"/>
          <a:ext cx="9944455" cy="414115"/>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ctr"/>
          <a:r>
            <a:rPr lang="en-IN" sz="2000" b="1">
              <a:solidFill>
                <a:schemeClr val="tx1">
                  <a:lumMod val="95000"/>
                  <a:lumOff val="5000"/>
                </a:schemeClr>
              </a:solidFill>
            </a:rPr>
            <a:t>Job Analytics</a:t>
          </a:r>
        </a:p>
      </xdr:txBody>
    </xdr:sp>
    <xdr:clientData/>
  </xdr:twoCellAnchor>
  <xdr:twoCellAnchor>
    <xdr:from>
      <xdr:col>10</xdr:col>
      <xdr:colOff>44509</xdr:colOff>
      <xdr:row>20</xdr:row>
      <xdr:rowOff>0</xdr:rowOff>
    </xdr:from>
    <xdr:to>
      <xdr:col>11</xdr:col>
      <xdr:colOff>44509</xdr:colOff>
      <xdr:row>22</xdr:row>
      <xdr:rowOff>33114</xdr:rowOff>
    </xdr:to>
    <mc:AlternateContent xmlns:mc="http://schemas.openxmlformats.org/markup-compatibility/2006">
      <mc:Choice xmlns:am3d="http://schemas.microsoft.com/office/drawing/2017/model3d" Requires="am3d">
        <xdr:graphicFrame macro="">
          <xdr:nvGraphicFramePr>
            <xdr:cNvPr id="5" name="3D Model 4" descr="Upward Trend">
              <a:extLst>
                <a:ext uri="{FF2B5EF4-FFF2-40B4-BE49-F238E27FC236}">
                  <a16:creationId xmlns:a16="http://schemas.microsoft.com/office/drawing/2014/main" id="{7D791F44-EC07-4B61-B196-2720FFD3A16A}"/>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
                <am3d:spPr>
                  <a:xfrm>
                    <a:off x="0" y="0"/>
                    <a:ext cx="612322" cy="414114"/>
                  </a:xfrm>
                  <a:prstGeom prst="rect">
                    <a:avLst/>
                  </a:prstGeom>
                </am3d:spPr>
                <am3d:camera>
                  <am3d:pos x="0" y="0" z="65012918"/>
                  <am3d:up dx="0" dy="36000000" dz="0"/>
                  <am3d:lookAt x="0" y="0" z="0"/>
                  <am3d:perspective fov="2700000"/>
                </am3d:camera>
                <am3d:trans>
                  <am3d:meterPerModelUnit n="101711" d="1000000"/>
                  <am3d:preTrans dx="0" dy="-16609428" dz="0"/>
                  <am3d:scale>
                    <am3d:sx n="1000000" d="1000000"/>
                    <am3d:sy n="1000000" d="1000000"/>
                    <am3d:sz n="1000000" d="1000000"/>
                  </am3d:scale>
                  <am3d:rot/>
                  <am3d:postTrans dx="0" dy="0" dz="0"/>
                </am3d:trans>
                <am3d:raster rName="Office3DRenderer" rVer="16.0.8326">
                  <am3d:blip r:embed="rId2"/>
                </am3d:raster>
                <am3d:objViewport viewportSz="626266"/>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 name="3D Model 4" descr="Upward Trend">
              <a:extLst>
                <a:ext uri="{FF2B5EF4-FFF2-40B4-BE49-F238E27FC236}">
                  <a16:creationId xmlns:a16="http://schemas.microsoft.com/office/drawing/2014/main" id="{7D791F44-EC07-4B61-B196-2720FFD3A16A}"/>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2"/>
            <a:stretch>
              <a:fillRect/>
            </a:stretch>
          </xdr:blipFill>
          <xdr:spPr>
            <a:xfrm>
              <a:off x="6167723" y="3810000"/>
              <a:ext cx="612322" cy="414114"/>
            </a:xfrm>
            <a:prstGeom prst="rect">
              <a:avLst/>
            </a:prstGeom>
          </xdr:spPr>
        </xdr:pic>
      </mc:Fallback>
    </mc:AlternateContent>
    <xdr:clientData/>
  </xdr:twoCellAnchor>
  <xdr:twoCellAnchor>
    <xdr:from>
      <xdr:col>5</xdr:col>
      <xdr:colOff>116287</xdr:colOff>
      <xdr:row>13</xdr:row>
      <xdr:rowOff>48512</xdr:rowOff>
    </xdr:from>
    <xdr:to>
      <xdr:col>8</xdr:col>
      <xdr:colOff>0</xdr:colOff>
      <xdr:row>16</xdr:row>
      <xdr:rowOff>2715</xdr:rowOff>
    </xdr:to>
    <xdr:sp macro="" textlink="">
      <xdr:nvSpPr>
        <xdr:cNvPr id="6" name="Rectangle: Top Corners One Rounded and One Snipped 5">
          <a:extLst>
            <a:ext uri="{FF2B5EF4-FFF2-40B4-BE49-F238E27FC236}">
              <a16:creationId xmlns:a16="http://schemas.microsoft.com/office/drawing/2014/main" id="{2A2AEB23-6212-456A-91E2-91E60DA00043}"/>
            </a:ext>
          </a:extLst>
        </xdr:cNvPr>
        <xdr:cNvSpPr/>
      </xdr:nvSpPr>
      <xdr:spPr>
        <a:xfrm>
          <a:off x="2554687" y="2525012"/>
          <a:ext cx="1712513" cy="525703"/>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142279</xdr:colOff>
      <xdr:row>13</xdr:row>
      <xdr:rowOff>47722</xdr:rowOff>
    </xdr:from>
    <xdr:to>
      <xdr:col>12</xdr:col>
      <xdr:colOff>60158</xdr:colOff>
      <xdr:row>16</xdr:row>
      <xdr:rowOff>1</xdr:rowOff>
    </xdr:to>
    <xdr:sp macro="" textlink="">
      <xdr:nvSpPr>
        <xdr:cNvPr id="7" name="Rectangle: Top Corners One Rounded and One Snipped 6">
          <a:extLst>
            <a:ext uri="{FF2B5EF4-FFF2-40B4-BE49-F238E27FC236}">
              <a16:creationId xmlns:a16="http://schemas.microsoft.com/office/drawing/2014/main" id="{980D134C-315F-4BB6-8667-94D02C79DCE7}"/>
            </a:ext>
          </a:extLst>
        </xdr:cNvPr>
        <xdr:cNvSpPr/>
      </xdr:nvSpPr>
      <xdr:spPr>
        <a:xfrm>
          <a:off x="5019079" y="2524222"/>
          <a:ext cx="1746679"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268398</xdr:colOff>
      <xdr:row>13</xdr:row>
      <xdr:rowOff>47721</xdr:rowOff>
    </xdr:from>
    <xdr:to>
      <xdr:col>16</xdr:col>
      <xdr:colOff>230605</xdr:colOff>
      <xdr:row>16</xdr:row>
      <xdr:rowOff>0</xdr:rowOff>
    </xdr:to>
    <xdr:sp macro="" textlink="">
      <xdr:nvSpPr>
        <xdr:cNvPr id="8" name="Rectangle: Top Corners One Rounded and One Snipped 7">
          <a:extLst>
            <a:ext uri="{FF2B5EF4-FFF2-40B4-BE49-F238E27FC236}">
              <a16:creationId xmlns:a16="http://schemas.microsoft.com/office/drawing/2014/main" id="{11CA020E-53FB-4C28-89DA-DD05E3A64C82}"/>
            </a:ext>
          </a:extLst>
        </xdr:cNvPr>
        <xdr:cNvSpPr/>
      </xdr:nvSpPr>
      <xdr:spPr>
        <a:xfrm>
          <a:off x="7583598" y="252422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400">
            <a:effectLst/>
          </a:endParaRPr>
        </a:p>
        <a:p>
          <a:pPr algn="l"/>
          <a:endParaRPr lang="en-IN" sz="1400" b="1">
            <a:solidFill>
              <a:schemeClr val="tx1"/>
            </a:solidFill>
          </a:endParaRPr>
        </a:p>
      </xdr:txBody>
    </xdr:sp>
    <xdr:clientData/>
  </xdr:twoCellAnchor>
  <xdr:twoCellAnchor>
    <xdr:from>
      <xdr:col>17</xdr:col>
      <xdr:colOff>413974</xdr:colOff>
      <xdr:row>13</xdr:row>
      <xdr:rowOff>47721</xdr:rowOff>
    </xdr:from>
    <xdr:to>
      <xdr:col>20</xdr:col>
      <xdr:colOff>270711</xdr:colOff>
      <xdr:row>16</xdr:row>
      <xdr:rowOff>0</xdr:rowOff>
    </xdr:to>
    <xdr:sp macro="" textlink="">
      <xdr:nvSpPr>
        <xdr:cNvPr id="9" name="Rectangle: Top Corners One Rounded and One Snipped 8">
          <a:extLst>
            <a:ext uri="{FF2B5EF4-FFF2-40B4-BE49-F238E27FC236}">
              <a16:creationId xmlns:a16="http://schemas.microsoft.com/office/drawing/2014/main" id="{D9E45F25-B9D5-4457-813A-194781D22F5A}"/>
            </a:ext>
          </a:extLst>
        </xdr:cNvPr>
        <xdr:cNvSpPr/>
      </xdr:nvSpPr>
      <xdr:spPr>
        <a:xfrm>
          <a:off x="10167574" y="2524221"/>
          <a:ext cx="168553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endParaRPr lang="en-IN" sz="1400" b="1">
            <a:solidFill>
              <a:schemeClr val="tx1"/>
            </a:solidFill>
          </a:endParaRPr>
        </a:p>
      </xdr:txBody>
    </xdr:sp>
    <xdr:clientData/>
  </xdr:twoCellAnchor>
  <xdr:twoCellAnchor>
    <xdr:from>
      <xdr:col>5</xdr:col>
      <xdr:colOff>106260</xdr:colOff>
      <xdr:row>16</xdr:row>
      <xdr:rowOff>154750</xdr:rowOff>
    </xdr:from>
    <xdr:to>
      <xdr:col>7</xdr:col>
      <xdr:colOff>611604</xdr:colOff>
      <xdr:row>19</xdr:row>
      <xdr:rowOff>107029</xdr:rowOff>
    </xdr:to>
    <xdr:sp macro="" textlink="">
      <xdr:nvSpPr>
        <xdr:cNvPr id="10" name="Rectangle: Top Corners One Rounded and One Snipped 9">
          <a:extLst>
            <a:ext uri="{FF2B5EF4-FFF2-40B4-BE49-F238E27FC236}">
              <a16:creationId xmlns:a16="http://schemas.microsoft.com/office/drawing/2014/main" id="{FCE65640-47E7-40C5-8599-FD960E649158}"/>
            </a:ext>
          </a:extLst>
        </xdr:cNvPr>
        <xdr:cNvSpPr/>
      </xdr:nvSpPr>
      <xdr:spPr>
        <a:xfrm>
          <a:off x="2544660" y="3202750"/>
          <a:ext cx="1724544"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17</xdr:col>
      <xdr:colOff>413975</xdr:colOff>
      <xdr:row>16</xdr:row>
      <xdr:rowOff>114643</xdr:rowOff>
    </xdr:from>
    <xdr:to>
      <xdr:col>20</xdr:col>
      <xdr:colOff>270711</xdr:colOff>
      <xdr:row>19</xdr:row>
      <xdr:rowOff>66922</xdr:rowOff>
    </xdr:to>
    <xdr:sp macro="" textlink="">
      <xdr:nvSpPr>
        <xdr:cNvPr id="11" name="Rectangle: Top Corners One Rounded and One Snipped 10">
          <a:extLst>
            <a:ext uri="{FF2B5EF4-FFF2-40B4-BE49-F238E27FC236}">
              <a16:creationId xmlns:a16="http://schemas.microsoft.com/office/drawing/2014/main" id="{8BB11B95-1AC3-4FDD-8234-419A4B304CE7}"/>
            </a:ext>
          </a:extLst>
        </xdr:cNvPr>
        <xdr:cNvSpPr/>
      </xdr:nvSpPr>
      <xdr:spPr>
        <a:xfrm>
          <a:off x="10167575" y="3162643"/>
          <a:ext cx="1685536"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13</xdr:col>
      <xdr:colOff>258371</xdr:colOff>
      <xdr:row>16</xdr:row>
      <xdr:rowOff>133501</xdr:rowOff>
    </xdr:from>
    <xdr:to>
      <xdr:col>16</xdr:col>
      <xdr:colOff>220578</xdr:colOff>
      <xdr:row>19</xdr:row>
      <xdr:rowOff>85780</xdr:rowOff>
    </xdr:to>
    <xdr:sp macro="" textlink="">
      <xdr:nvSpPr>
        <xdr:cNvPr id="12" name="Rectangle: Top Corners One Rounded and One Snipped 11">
          <a:extLst>
            <a:ext uri="{FF2B5EF4-FFF2-40B4-BE49-F238E27FC236}">
              <a16:creationId xmlns:a16="http://schemas.microsoft.com/office/drawing/2014/main" id="{E2CBB99A-0BAE-428F-A61E-754FAD25B4FE}"/>
            </a:ext>
          </a:extLst>
        </xdr:cNvPr>
        <xdr:cNvSpPr/>
      </xdr:nvSpPr>
      <xdr:spPr>
        <a:xfrm>
          <a:off x="7573571" y="3181501"/>
          <a:ext cx="1791007"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xdr:from>
      <xdr:col>9</xdr:col>
      <xdr:colOff>112200</xdr:colOff>
      <xdr:row>16</xdr:row>
      <xdr:rowOff>144725</xdr:rowOff>
    </xdr:from>
    <xdr:to>
      <xdr:col>12</xdr:col>
      <xdr:colOff>50132</xdr:colOff>
      <xdr:row>19</xdr:row>
      <xdr:rowOff>97004</xdr:rowOff>
    </xdr:to>
    <xdr:sp macro="" textlink="">
      <xdr:nvSpPr>
        <xdr:cNvPr id="13" name="Rectangle: Top Corners One Rounded and One Snipped 12">
          <a:extLst>
            <a:ext uri="{FF2B5EF4-FFF2-40B4-BE49-F238E27FC236}">
              <a16:creationId xmlns:a16="http://schemas.microsoft.com/office/drawing/2014/main" id="{0867D936-B5D0-4237-82D4-84AE8B7B73D8}"/>
            </a:ext>
          </a:extLst>
        </xdr:cNvPr>
        <xdr:cNvSpPr/>
      </xdr:nvSpPr>
      <xdr:spPr>
        <a:xfrm>
          <a:off x="4989000" y="3192725"/>
          <a:ext cx="1766732" cy="523779"/>
        </a:xfrm>
        <a:prstGeom prst="snip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400" b="1">
            <a:solidFill>
              <a:schemeClr val="tx1"/>
            </a:solidFill>
          </a:endParaRPr>
        </a:p>
      </xdr:txBody>
    </xdr:sp>
    <xdr:clientData/>
  </xdr:twoCellAnchor>
  <xdr:twoCellAnchor editAs="oneCell">
    <xdr:from>
      <xdr:col>5</xdr:col>
      <xdr:colOff>146364</xdr:colOff>
      <xdr:row>14</xdr:row>
      <xdr:rowOff>70184</xdr:rowOff>
    </xdr:from>
    <xdr:to>
      <xdr:col>6</xdr:col>
      <xdr:colOff>54687</xdr:colOff>
      <xdr:row>15</xdr:row>
      <xdr:rowOff>174377</xdr:rowOff>
    </xdr:to>
    <xdr:pic>
      <xdr:nvPicPr>
        <xdr:cNvPr id="14" name="Graphic 13" descr="Document with solid fill">
          <a:extLst>
            <a:ext uri="{FF2B5EF4-FFF2-40B4-BE49-F238E27FC236}">
              <a16:creationId xmlns:a16="http://schemas.microsoft.com/office/drawing/2014/main" id="{BAEEE6DC-3F3E-4BE5-943B-F7B8C446177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84764" y="2737184"/>
          <a:ext cx="517924" cy="294693"/>
        </a:xfrm>
        <a:prstGeom prst="rect">
          <a:avLst/>
        </a:prstGeom>
      </xdr:spPr>
    </xdr:pic>
    <xdr:clientData/>
  </xdr:twoCellAnchor>
  <xdr:oneCellAnchor>
    <xdr:from>
      <xdr:col>6</xdr:col>
      <xdr:colOff>4557</xdr:colOff>
      <xdr:row>14</xdr:row>
      <xdr:rowOff>18028</xdr:rowOff>
    </xdr:from>
    <xdr:ext cx="597021" cy="360772"/>
    <xdr:sp macro="" textlink="'Pivot Tables'!P80">
      <xdr:nvSpPr>
        <xdr:cNvPr id="15" name="TextBox 14">
          <a:extLst>
            <a:ext uri="{FF2B5EF4-FFF2-40B4-BE49-F238E27FC236}">
              <a16:creationId xmlns:a16="http://schemas.microsoft.com/office/drawing/2014/main" id="{17A06317-822E-4BD5-9DA5-756CCFDB96E2}"/>
            </a:ext>
          </a:extLst>
        </xdr:cNvPr>
        <xdr:cNvSpPr txBox="1"/>
      </xdr:nvSpPr>
      <xdr:spPr>
        <a:xfrm>
          <a:off x="3052557" y="2685028"/>
          <a:ext cx="597021" cy="3607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5DE3C380-76CB-48CE-908D-6E6657B1B5F4}"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100</a:t>
          </a:fld>
          <a:endParaRPr lang="en-IN" sz="2000" b="1">
            <a:solidFill>
              <a:schemeClr val="tx1"/>
            </a:solidFill>
            <a:latin typeface="Times New Roman" panose="02020603050405020304" pitchFamily="18" charset="0"/>
            <a:cs typeface="Times New Roman" panose="02020603050405020304" pitchFamily="18" charset="0"/>
          </a:endParaRPr>
        </a:p>
      </xdr:txBody>
    </xdr:sp>
    <xdr:clientData/>
  </xdr:oneCellAnchor>
  <xdr:twoCellAnchor editAs="oneCell">
    <xdr:from>
      <xdr:col>9</xdr:col>
      <xdr:colOff>358413</xdr:colOff>
      <xdr:row>13</xdr:row>
      <xdr:rowOff>183478</xdr:rowOff>
    </xdr:from>
    <xdr:to>
      <xdr:col>10</xdr:col>
      <xdr:colOff>148187</xdr:colOff>
      <xdr:row>16</xdr:row>
      <xdr:rowOff>11722</xdr:rowOff>
    </xdr:to>
    <xdr:pic>
      <xdr:nvPicPr>
        <xdr:cNvPr id="16" name="Graphic 15" descr="User with solid fill">
          <a:extLst>
            <a:ext uri="{FF2B5EF4-FFF2-40B4-BE49-F238E27FC236}">
              <a16:creationId xmlns:a16="http://schemas.microsoft.com/office/drawing/2014/main" id="{86B32E6B-C203-4D68-8269-50068F8557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231669" y="2631181"/>
          <a:ext cx="398930" cy="393099"/>
        </a:xfrm>
        <a:prstGeom prst="rect">
          <a:avLst/>
        </a:prstGeom>
        <a:effectLst>
          <a:outerShdw blurRad="50800" dist="38100" dir="5400000" algn="t" rotWithShape="0">
            <a:prstClr val="black">
              <a:alpha val="40000"/>
            </a:prstClr>
          </a:outerShdw>
        </a:effectLst>
      </xdr:spPr>
    </xdr:pic>
    <xdr:clientData/>
  </xdr:twoCellAnchor>
  <xdr:oneCellAnchor>
    <xdr:from>
      <xdr:col>10</xdr:col>
      <xdr:colOff>146908</xdr:colOff>
      <xdr:row>13</xdr:row>
      <xdr:rowOff>179771</xdr:rowOff>
    </xdr:from>
    <xdr:ext cx="441146" cy="387222"/>
    <xdr:sp macro="" textlink="'Pivot Tables'!P81">
      <xdr:nvSpPr>
        <xdr:cNvPr id="17" name="TextBox 16">
          <a:extLst>
            <a:ext uri="{FF2B5EF4-FFF2-40B4-BE49-F238E27FC236}">
              <a16:creationId xmlns:a16="http://schemas.microsoft.com/office/drawing/2014/main" id="{B99EDB02-3FD6-456C-ABDF-0E2B990B039E}"/>
            </a:ext>
          </a:extLst>
        </xdr:cNvPr>
        <xdr:cNvSpPr txBox="1"/>
      </xdr:nvSpPr>
      <xdr:spPr>
        <a:xfrm>
          <a:off x="5629321" y="2627474"/>
          <a:ext cx="44114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FF4878C0-0F0A-44B4-B4C5-2044BF0EE2CB}"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17</xdr:col>
      <xdr:colOff>469192</xdr:colOff>
      <xdr:row>14</xdr:row>
      <xdr:rowOff>60158</xdr:rowOff>
    </xdr:from>
    <xdr:to>
      <xdr:col>18</xdr:col>
      <xdr:colOff>392684</xdr:colOff>
      <xdr:row>15</xdr:row>
      <xdr:rowOff>160421</xdr:rowOff>
    </xdr:to>
    <xdr:pic>
      <xdr:nvPicPr>
        <xdr:cNvPr id="18" name="Graphic 17" descr="Checklist with solid fill">
          <a:extLst>
            <a:ext uri="{FF2B5EF4-FFF2-40B4-BE49-F238E27FC236}">
              <a16:creationId xmlns:a16="http://schemas.microsoft.com/office/drawing/2014/main" id="{D2F8CDD5-8247-40F6-BDF6-57D1A1C71EAB}"/>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222792" y="2727158"/>
          <a:ext cx="533093" cy="290763"/>
        </a:xfrm>
        <a:prstGeom prst="rect">
          <a:avLst/>
        </a:prstGeom>
      </xdr:spPr>
    </xdr:pic>
    <xdr:clientData/>
  </xdr:twoCellAnchor>
  <xdr:oneCellAnchor>
    <xdr:from>
      <xdr:col>14</xdr:col>
      <xdr:colOff>300992</xdr:colOff>
      <xdr:row>13</xdr:row>
      <xdr:rowOff>170448</xdr:rowOff>
    </xdr:from>
    <xdr:ext cx="441146" cy="387222"/>
    <xdr:sp macro="" textlink="'Pivot Tables'!P82">
      <xdr:nvSpPr>
        <xdr:cNvPr id="19" name="TextBox 18">
          <a:extLst>
            <a:ext uri="{FF2B5EF4-FFF2-40B4-BE49-F238E27FC236}">
              <a16:creationId xmlns:a16="http://schemas.microsoft.com/office/drawing/2014/main" id="{B9DFFCB8-2B6F-472E-8DA4-8BD765756CE2}"/>
            </a:ext>
          </a:extLst>
        </xdr:cNvPr>
        <xdr:cNvSpPr txBox="1"/>
      </xdr:nvSpPr>
      <xdr:spPr>
        <a:xfrm>
          <a:off x="8225792" y="2646948"/>
          <a:ext cx="441146" cy="387222"/>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none" rtlCol="0" anchor="t">
          <a:spAutoFit/>
        </a:bodyPr>
        <a:lstStyle/>
        <a:p>
          <a:fld id="{78CE2974-7939-432D-BAD2-CC3D455E214F}" type="TxLink">
            <a:rPr lang="en-US" sz="2000" b="1" i="0" u="none" strike="noStrike">
              <a:solidFill>
                <a:srgbClr val="000000"/>
              </a:solidFill>
              <a:latin typeface="Times New Roman" panose="02020603050405020304" pitchFamily="18" charset="0"/>
              <a:ea typeface="Calibri"/>
              <a:cs typeface="Times New Roman" panose="02020603050405020304" pitchFamily="18" charset="0"/>
            </a:rPr>
            <a:pPr/>
            <a:t>28</a:t>
          </a:fld>
          <a:endParaRPr lang="en-IN" sz="2000" b="1">
            <a:latin typeface="Times New Roman" panose="02020603050405020304" pitchFamily="18" charset="0"/>
            <a:cs typeface="Times New Roman" panose="02020603050405020304" pitchFamily="18" charset="0"/>
          </a:endParaRPr>
        </a:p>
      </xdr:txBody>
    </xdr:sp>
    <xdr:clientData/>
  </xdr:oneCellAnchor>
  <xdr:twoCellAnchor editAs="oneCell">
    <xdr:from>
      <xdr:col>4</xdr:col>
      <xdr:colOff>113934</xdr:colOff>
      <xdr:row>0</xdr:row>
      <xdr:rowOff>50131</xdr:rowOff>
    </xdr:from>
    <xdr:to>
      <xdr:col>20</xdr:col>
      <xdr:colOff>463716</xdr:colOff>
      <xdr:row>6</xdr:row>
      <xdr:rowOff>12532</xdr:rowOff>
    </xdr:to>
    <mc:AlternateContent xmlns:mc="http://schemas.openxmlformats.org/markup-compatibility/2006" xmlns:a14="http://schemas.microsoft.com/office/drawing/2010/main">
      <mc:Choice Requires="a14">
        <xdr:graphicFrame macro="">
          <xdr:nvGraphicFramePr>
            <xdr:cNvPr id="20" name="Company 5">
              <a:extLst>
                <a:ext uri="{FF2B5EF4-FFF2-40B4-BE49-F238E27FC236}">
                  <a16:creationId xmlns:a16="http://schemas.microsoft.com/office/drawing/2014/main" id="{AF7C6B32-C1F2-4D26-B3BE-B3FA698B1D86}"/>
                </a:ext>
              </a:extLst>
            </xdr:cNvPr>
            <xdr:cNvGraphicFramePr/>
          </xdr:nvGraphicFramePr>
          <xdr:xfrm>
            <a:off x="0" y="0"/>
            <a:ext cx="0" cy="0"/>
          </xdr:xfrm>
          <a:graphic>
            <a:graphicData uri="http://schemas.microsoft.com/office/drawing/2010/slicer">
              <sle:slicer xmlns:sle="http://schemas.microsoft.com/office/drawing/2010/slicer" name="Company 5"/>
            </a:graphicData>
          </a:graphic>
        </xdr:graphicFrame>
      </mc:Choice>
      <mc:Fallback xmlns="">
        <xdr:sp macro="" textlink="">
          <xdr:nvSpPr>
            <xdr:cNvPr id="0" name=""/>
            <xdr:cNvSpPr>
              <a:spLocks noTextEdit="1"/>
            </xdr:cNvSpPr>
          </xdr:nvSpPr>
          <xdr:spPr>
            <a:xfrm>
              <a:off x="1941405" y="50131"/>
              <a:ext cx="10096294" cy="10921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414724</xdr:colOff>
      <xdr:row>6</xdr:row>
      <xdr:rowOff>110288</xdr:rowOff>
    </xdr:from>
    <xdr:to>
      <xdr:col>12</xdr:col>
      <xdr:colOff>401190</xdr:colOff>
      <xdr:row>12</xdr:row>
      <xdr:rowOff>125677</xdr:rowOff>
    </xdr:to>
    <mc:AlternateContent xmlns:mc="http://schemas.openxmlformats.org/markup-compatibility/2006" xmlns:a14="http://schemas.microsoft.com/office/drawing/2010/main">
      <mc:Choice Requires="a14">
        <xdr:graphicFrame macro="">
          <xdr:nvGraphicFramePr>
            <xdr:cNvPr id="21" name="Application Source 5">
              <a:extLst>
                <a:ext uri="{FF2B5EF4-FFF2-40B4-BE49-F238E27FC236}">
                  <a16:creationId xmlns:a16="http://schemas.microsoft.com/office/drawing/2014/main" id="{BB03FBDC-BF15-4F32-87FD-D273C6F36FFC}"/>
                </a:ext>
              </a:extLst>
            </xdr:cNvPr>
            <xdr:cNvGraphicFramePr/>
          </xdr:nvGraphicFramePr>
          <xdr:xfrm>
            <a:off x="0" y="0"/>
            <a:ext cx="0" cy="0"/>
          </xdr:xfrm>
          <a:graphic>
            <a:graphicData uri="http://schemas.microsoft.com/office/drawing/2010/slicer">
              <sle:slicer xmlns:sle="http://schemas.microsoft.com/office/drawing/2010/slicer" name="Application Source 5"/>
            </a:graphicData>
          </a:graphic>
        </xdr:graphicFrame>
      </mc:Choice>
      <mc:Fallback xmlns="">
        <xdr:sp macro="" textlink="">
          <xdr:nvSpPr>
            <xdr:cNvPr id="0" name=""/>
            <xdr:cNvSpPr>
              <a:spLocks noTextEdit="1"/>
            </xdr:cNvSpPr>
          </xdr:nvSpPr>
          <xdr:spPr>
            <a:xfrm>
              <a:off x="5287980" y="1239997"/>
              <a:ext cx="1813936" cy="1145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13332</xdr:colOff>
      <xdr:row>6</xdr:row>
      <xdr:rowOff>113812</xdr:rowOff>
    </xdr:from>
    <xdr:to>
      <xdr:col>20</xdr:col>
      <xdr:colOff>438310</xdr:colOff>
      <xdr:row>12</xdr:row>
      <xdr:rowOff>108799</xdr:rowOff>
    </xdr:to>
    <mc:AlternateContent xmlns:mc="http://schemas.openxmlformats.org/markup-compatibility/2006" xmlns:a14="http://schemas.microsoft.com/office/drawing/2010/main">
      <mc:Choice Requires="a14">
        <xdr:graphicFrame macro="">
          <xdr:nvGraphicFramePr>
            <xdr:cNvPr id="22" name="Status 5">
              <a:extLst>
                <a:ext uri="{FF2B5EF4-FFF2-40B4-BE49-F238E27FC236}">
                  <a16:creationId xmlns:a16="http://schemas.microsoft.com/office/drawing/2014/main" id="{B41C287A-2F62-4A7D-A554-DE5F186F9AD2}"/>
                </a:ext>
              </a:extLst>
            </xdr:cNvPr>
            <xdr:cNvGraphicFramePr/>
          </xdr:nvGraphicFramePr>
          <xdr:xfrm>
            <a:off x="0" y="0"/>
            <a:ext cx="0" cy="0"/>
          </xdr:xfrm>
          <a:graphic>
            <a:graphicData uri="http://schemas.microsoft.com/office/drawing/2010/slicer">
              <sle:slicer xmlns:sle="http://schemas.microsoft.com/office/drawing/2010/slicer" name="Status 5"/>
            </a:graphicData>
          </a:graphic>
        </xdr:graphicFrame>
      </mc:Choice>
      <mc:Fallback xmlns="">
        <xdr:sp macro="" textlink="">
          <xdr:nvSpPr>
            <xdr:cNvPr id="0" name=""/>
            <xdr:cNvSpPr>
              <a:spLocks noTextEdit="1"/>
            </xdr:cNvSpPr>
          </xdr:nvSpPr>
          <xdr:spPr>
            <a:xfrm>
              <a:off x="9692791" y="1272258"/>
              <a:ext cx="2239878" cy="1153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87732</xdr:colOff>
      <xdr:row>6</xdr:row>
      <xdr:rowOff>120315</xdr:rowOff>
    </xdr:from>
    <xdr:to>
      <xdr:col>16</xdr:col>
      <xdr:colOff>401052</xdr:colOff>
      <xdr:row>12</xdr:row>
      <xdr:rowOff>100264</xdr:rowOff>
    </xdr:to>
    <mc:AlternateContent xmlns:mc="http://schemas.openxmlformats.org/markup-compatibility/2006" xmlns:a14="http://schemas.microsoft.com/office/drawing/2010/main">
      <mc:Choice Requires="a14">
        <xdr:graphicFrame macro="">
          <xdr:nvGraphicFramePr>
            <xdr:cNvPr id="23" name="Experience 4">
              <a:extLst>
                <a:ext uri="{FF2B5EF4-FFF2-40B4-BE49-F238E27FC236}">
                  <a16:creationId xmlns:a16="http://schemas.microsoft.com/office/drawing/2014/main" id="{3A560E33-2F01-49D7-9867-506F36811D24}"/>
                </a:ext>
              </a:extLst>
            </xdr:cNvPr>
            <xdr:cNvGraphicFramePr/>
          </xdr:nvGraphicFramePr>
          <xdr:xfrm>
            <a:off x="0" y="0"/>
            <a:ext cx="0" cy="0"/>
          </xdr:xfrm>
          <a:graphic>
            <a:graphicData uri="http://schemas.microsoft.com/office/drawing/2010/slicer">
              <sle:slicer xmlns:sle="http://schemas.microsoft.com/office/drawing/2010/slicer" name="Experience 4"/>
            </a:graphicData>
          </a:graphic>
        </xdr:graphicFrame>
      </mc:Choice>
      <mc:Fallback xmlns="">
        <xdr:sp macro="" textlink="">
          <xdr:nvSpPr>
            <xdr:cNvPr id="0" name=""/>
            <xdr:cNvSpPr>
              <a:spLocks noTextEdit="1"/>
            </xdr:cNvSpPr>
          </xdr:nvSpPr>
          <xdr:spPr>
            <a:xfrm>
              <a:off x="7397616" y="1250024"/>
              <a:ext cx="2140791" cy="11096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150393</xdr:colOff>
      <xdr:row>6</xdr:row>
      <xdr:rowOff>100262</xdr:rowOff>
    </xdr:from>
    <xdr:to>
      <xdr:col>9</xdr:col>
      <xdr:colOff>75195</xdr:colOff>
      <xdr:row>12</xdr:row>
      <xdr:rowOff>87730</xdr:rowOff>
    </xdr:to>
    <mc:AlternateContent xmlns:mc="http://schemas.openxmlformats.org/markup-compatibility/2006" xmlns:a14="http://schemas.microsoft.com/office/drawing/2010/main">
      <mc:Choice Requires="a14">
        <xdr:graphicFrame macro="">
          <xdr:nvGraphicFramePr>
            <xdr:cNvPr id="24" name="Role 4">
              <a:extLst>
                <a:ext uri="{FF2B5EF4-FFF2-40B4-BE49-F238E27FC236}">
                  <a16:creationId xmlns:a16="http://schemas.microsoft.com/office/drawing/2014/main" id="{F0FDEEBA-9826-4E77-B1A0-2205C1E34B24}"/>
                </a:ext>
              </a:extLst>
            </xdr:cNvPr>
            <xdr:cNvGraphicFramePr/>
          </xdr:nvGraphicFramePr>
          <xdr:xfrm>
            <a:off x="0" y="0"/>
            <a:ext cx="0" cy="0"/>
          </xdr:xfrm>
          <a:graphic>
            <a:graphicData uri="http://schemas.microsoft.com/office/drawing/2010/slicer">
              <sle:slicer xmlns:sle="http://schemas.microsoft.com/office/drawing/2010/slicer" name="Role 4"/>
            </a:graphicData>
          </a:graphic>
        </xdr:graphicFrame>
      </mc:Choice>
      <mc:Fallback xmlns="">
        <xdr:sp macro="" textlink="">
          <xdr:nvSpPr>
            <xdr:cNvPr id="0" name=""/>
            <xdr:cNvSpPr>
              <a:spLocks noTextEdit="1"/>
            </xdr:cNvSpPr>
          </xdr:nvSpPr>
          <xdr:spPr>
            <a:xfrm>
              <a:off x="1977864" y="1229971"/>
              <a:ext cx="2970587" cy="11171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290763</xdr:colOff>
      <xdr:row>13</xdr:row>
      <xdr:rowOff>164833</xdr:rowOff>
    </xdr:from>
    <xdr:to>
      <xdr:col>5</xdr:col>
      <xdr:colOff>10026</xdr:colOff>
      <xdr:row>16</xdr:row>
      <xdr:rowOff>1</xdr:rowOff>
    </xdr:to>
    <xdr:sp macro="" textlink="">
      <xdr:nvSpPr>
        <xdr:cNvPr id="25" name="Arrow: Right 24">
          <a:extLst>
            <a:ext uri="{FF2B5EF4-FFF2-40B4-BE49-F238E27FC236}">
              <a16:creationId xmlns:a16="http://schemas.microsoft.com/office/drawing/2014/main" id="{27BDAE35-AD67-4391-A9D0-7346CCDF25A2}"/>
            </a:ext>
          </a:extLst>
        </xdr:cNvPr>
        <xdr:cNvSpPr/>
      </xdr:nvSpPr>
      <xdr:spPr>
        <a:xfrm>
          <a:off x="2119563" y="26413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290764</xdr:colOff>
      <xdr:row>17</xdr:row>
      <xdr:rowOff>4412</xdr:rowOff>
    </xdr:from>
    <xdr:to>
      <xdr:col>5</xdr:col>
      <xdr:colOff>10027</xdr:colOff>
      <xdr:row>19</xdr:row>
      <xdr:rowOff>30080</xdr:rowOff>
    </xdr:to>
    <xdr:sp macro="" textlink="">
      <xdr:nvSpPr>
        <xdr:cNvPr id="26" name="Arrow: Right 25">
          <a:extLst>
            <a:ext uri="{FF2B5EF4-FFF2-40B4-BE49-F238E27FC236}">
              <a16:creationId xmlns:a16="http://schemas.microsoft.com/office/drawing/2014/main" id="{5A27D387-1F84-4E57-9362-14EB7C437860}"/>
            </a:ext>
          </a:extLst>
        </xdr:cNvPr>
        <xdr:cNvSpPr/>
      </xdr:nvSpPr>
      <xdr:spPr>
        <a:xfrm>
          <a:off x="2119564" y="3242912"/>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270710</xdr:colOff>
      <xdr:row>13</xdr:row>
      <xdr:rowOff>124728</xdr:rowOff>
    </xdr:from>
    <xdr:to>
      <xdr:col>8</xdr:col>
      <xdr:colOff>601578</xdr:colOff>
      <xdr:row>15</xdr:row>
      <xdr:rowOff>150396</xdr:rowOff>
    </xdr:to>
    <xdr:sp macro="" textlink="">
      <xdr:nvSpPr>
        <xdr:cNvPr id="27" name="Arrow: Right 26">
          <a:extLst>
            <a:ext uri="{FF2B5EF4-FFF2-40B4-BE49-F238E27FC236}">
              <a16:creationId xmlns:a16="http://schemas.microsoft.com/office/drawing/2014/main" id="{EE449E7E-F693-41C6-ACCD-26B5ACF3EAFD}"/>
            </a:ext>
          </a:extLst>
        </xdr:cNvPr>
        <xdr:cNvSpPr/>
      </xdr:nvSpPr>
      <xdr:spPr>
        <a:xfrm>
          <a:off x="4537910" y="2601228"/>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250657</xdr:colOff>
      <xdr:row>17</xdr:row>
      <xdr:rowOff>24465</xdr:rowOff>
    </xdr:from>
    <xdr:to>
      <xdr:col>8</xdr:col>
      <xdr:colOff>581525</xdr:colOff>
      <xdr:row>19</xdr:row>
      <xdr:rowOff>50133</xdr:rowOff>
    </xdr:to>
    <xdr:sp macro="" textlink="">
      <xdr:nvSpPr>
        <xdr:cNvPr id="28" name="Arrow: Right 27">
          <a:extLst>
            <a:ext uri="{FF2B5EF4-FFF2-40B4-BE49-F238E27FC236}">
              <a16:creationId xmlns:a16="http://schemas.microsoft.com/office/drawing/2014/main" id="{77FDEB67-BE7E-4CCD-9667-93C82373D69F}"/>
            </a:ext>
          </a:extLst>
        </xdr:cNvPr>
        <xdr:cNvSpPr/>
      </xdr:nvSpPr>
      <xdr:spPr>
        <a:xfrm>
          <a:off x="4517857" y="3262965"/>
          <a:ext cx="330868"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370975</xdr:colOff>
      <xdr:row>13</xdr:row>
      <xdr:rowOff>124728</xdr:rowOff>
    </xdr:from>
    <xdr:to>
      <xdr:col>13</xdr:col>
      <xdr:colOff>90238</xdr:colOff>
      <xdr:row>15</xdr:row>
      <xdr:rowOff>150396</xdr:rowOff>
    </xdr:to>
    <xdr:sp macro="" textlink="">
      <xdr:nvSpPr>
        <xdr:cNvPr id="29" name="Arrow: Right 28">
          <a:extLst>
            <a:ext uri="{FF2B5EF4-FFF2-40B4-BE49-F238E27FC236}">
              <a16:creationId xmlns:a16="http://schemas.microsoft.com/office/drawing/2014/main" id="{C086B049-071D-4F4D-A0FF-45D49BD445BF}"/>
            </a:ext>
          </a:extLst>
        </xdr:cNvPr>
        <xdr:cNvSpPr/>
      </xdr:nvSpPr>
      <xdr:spPr>
        <a:xfrm>
          <a:off x="7076575" y="260122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360948</xdr:colOff>
      <xdr:row>17</xdr:row>
      <xdr:rowOff>14438</xdr:rowOff>
    </xdr:from>
    <xdr:to>
      <xdr:col>13</xdr:col>
      <xdr:colOff>80211</xdr:colOff>
      <xdr:row>19</xdr:row>
      <xdr:rowOff>40106</xdr:rowOff>
    </xdr:to>
    <xdr:sp macro="" textlink="">
      <xdr:nvSpPr>
        <xdr:cNvPr id="30" name="Arrow: Right 29">
          <a:extLst>
            <a:ext uri="{FF2B5EF4-FFF2-40B4-BE49-F238E27FC236}">
              <a16:creationId xmlns:a16="http://schemas.microsoft.com/office/drawing/2014/main" id="{400C72F4-071D-4414-ABD1-070CF8FFEC9A}"/>
            </a:ext>
          </a:extLst>
        </xdr:cNvPr>
        <xdr:cNvSpPr/>
      </xdr:nvSpPr>
      <xdr:spPr>
        <a:xfrm>
          <a:off x="7066548" y="3252938"/>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13</xdr:row>
      <xdr:rowOff>134755</xdr:rowOff>
    </xdr:from>
    <xdr:to>
      <xdr:col>17</xdr:col>
      <xdr:colOff>250659</xdr:colOff>
      <xdr:row>15</xdr:row>
      <xdr:rowOff>160423</xdr:rowOff>
    </xdr:to>
    <xdr:sp macro="" textlink="">
      <xdr:nvSpPr>
        <xdr:cNvPr id="31" name="Arrow: Right 30">
          <a:extLst>
            <a:ext uri="{FF2B5EF4-FFF2-40B4-BE49-F238E27FC236}">
              <a16:creationId xmlns:a16="http://schemas.microsoft.com/office/drawing/2014/main" id="{7EFD52BF-B00C-458F-886D-1A430D84AF46}"/>
            </a:ext>
          </a:extLst>
        </xdr:cNvPr>
        <xdr:cNvSpPr/>
      </xdr:nvSpPr>
      <xdr:spPr>
        <a:xfrm>
          <a:off x="9675396" y="2611255"/>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531396</xdr:colOff>
      <xdr:row>16</xdr:row>
      <xdr:rowOff>164833</xdr:rowOff>
    </xdr:from>
    <xdr:to>
      <xdr:col>17</xdr:col>
      <xdr:colOff>250659</xdr:colOff>
      <xdr:row>19</xdr:row>
      <xdr:rowOff>1</xdr:rowOff>
    </xdr:to>
    <xdr:sp macro="" textlink="">
      <xdr:nvSpPr>
        <xdr:cNvPr id="32" name="Arrow: Right 31">
          <a:extLst>
            <a:ext uri="{FF2B5EF4-FFF2-40B4-BE49-F238E27FC236}">
              <a16:creationId xmlns:a16="http://schemas.microsoft.com/office/drawing/2014/main" id="{E6071DDD-5B1E-4F14-9C26-F2FB49155239}"/>
            </a:ext>
          </a:extLst>
        </xdr:cNvPr>
        <xdr:cNvSpPr/>
      </xdr:nvSpPr>
      <xdr:spPr>
        <a:xfrm>
          <a:off x="9675396" y="3212833"/>
          <a:ext cx="328863" cy="40666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18</xdr:col>
      <xdr:colOff>370974</xdr:colOff>
      <xdr:row>13</xdr:row>
      <xdr:rowOff>160421</xdr:rowOff>
    </xdr:from>
    <xdr:ext cx="962526" cy="387222"/>
    <xdr:sp macro="" textlink="">
      <xdr:nvSpPr>
        <xdr:cNvPr id="33" name="TextBox 32">
          <a:extLst>
            <a:ext uri="{FF2B5EF4-FFF2-40B4-BE49-F238E27FC236}">
              <a16:creationId xmlns:a16="http://schemas.microsoft.com/office/drawing/2014/main" id="{9083ECA4-29E6-4C79-A7A9-FFFFEA618273}"/>
            </a:ext>
          </a:extLst>
        </xdr:cNvPr>
        <xdr:cNvSpPr txBox="1"/>
      </xdr:nvSpPr>
      <xdr:spPr>
        <a:xfrm>
          <a:off x="10734174" y="2636921"/>
          <a:ext cx="962526"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28%</a:t>
          </a:r>
        </a:p>
      </xdr:txBody>
    </xdr:sp>
    <xdr:clientData/>
  </xdr:oneCellAnchor>
  <xdr:twoCellAnchor editAs="oneCell">
    <xdr:from>
      <xdr:col>13</xdr:col>
      <xdr:colOff>340894</xdr:colOff>
      <xdr:row>14</xdr:row>
      <xdr:rowOff>30079</xdr:rowOff>
    </xdr:from>
    <xdr:to>
      <xdr:col>14</xdr:col>
      <xdr:colOff>330869</xdr:colOff>
      <xdr:row>16</xdr:row>
      <xdr:rowOff>10027</xdr:rowOff>
    </xdr:to>
    <xdr:pic>
      <xdr:nvPicPr>
        <xdr:cNvPr id="34" name="Graphic 33" descr="Envelope with solid fill">
          <a:extLst>
            <a:ext uri="{FF2B5EF4-FFF2-40B4-BE49-F238E27FC236}">
              <a16:creationId xmlns:a16="http://schemas.microsoft.com/office/drawing/2014/main" id="{AB07297A-65A5-465E-90C3-F9F8109B948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656094" y="2697079"/>
          <a:ext cx="599574" cy="360948"/>
        </a:xfrm>
        <a:prstGeom prst="rect">
          <a:avLst/>
        </a:prstGeom>
      </xdr:spPr>
    </xdr:pic>
    <xdr:clientData/>
  </xdr:twoCellAnchor>
  <xdr:oneCellAnchor>
    <xdr:from>
      <xdr:col>9</xdr:col>
      <xdr:colOff>531394</xdr:colOff>
      <xdr:row>17</xdr:row>
      <xdr:rowOff>80211</xdr:rowOff>
    </xdr:from>
    <xdr:ext cx="1210588" cy="387222"/>
    <xdr:sp macro="" textlink="'Pivot Tables'!D34">
      <xdr:nvSpPr>
        <xdr:cNvPr id="35" name="TextBox 34">
          <a:extLst>
            <a:ext uri="{FF2B5EF4-FFF2-40B4-BE49-F238E27FC236}">
              <a16:creationId xmlns:a16="http://schemas.microsoft.com/office/drawing/2014/main" id="{7E09EE3E-F61B-4229-A09D-25BC53A18977}"/>
            </a:ext>
          </a:extLst>
        </xdr:cNvPr>
        <xdr:cNvSpPr txBox="1"/>
      </xdr:nvSpPr>
      <xdr:spPr>
        <a:xfrm>
          <a:off x="5408194" y="3318711"/>
          <a:ext cx="1210588"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043904FF-6C83-4180-9BE7-2580B31D2683}" type="TxLink">
            <a:rPr lang="en-US" sz="2000" b="1" i="0" u="none" strike="noStrike">
              <a:solidFill>
                <a:schemeClr val="tx1"/>
              </a:solidFill>
              <a:latin typeface="Times New Roman" panose="02020603050405020304" pitchFamily="18" charset="0"/>
              <a:ea typeface="Calibri"/>
              <a:cs typeface="Times New Roman" panose="02020603050405020304" pitchFamily="18" charset="0"/>
            </a:rPr>
            <a:pPr/>
            <a:t>16,98,104</a:t>
          </a:fld>
          <a:endParaRPr lang="en-IN" sz="14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14</xdr:col>
      <xdr:colOff>591553</xdr:colOff>
      <xdr:row>17</xdr:row>
      <xdr:rowOff>130341</xdr:rowOff>
    </xdr:from>
    <xdr:ext cx="902811" cy="298800"/>
    <xdr:sp macro="" textlink="'Pivot Tables'!D35">
      <xdr:nvSpPr>
        <xdr:cNvPr id="36" name="TextBox 35">
          <a:extLst>
            <a:ext uri="{FF2B5EF4-FFF2-40B4-BE49-F238E27FC236}">
              <a16:creationId xmlns:a16="http://schemas.microsoft.com/office/drawing/2014/main" id="{81F069F6-A642-4DFE-B57A-C80704DAB1BC}"/>
            </a:ext>
          </a:extLst>
        </xdr:cNvPr>
        <xdr:cNvSpPr txBox="1"/>
      </xdr:nvSpPr>
      <xdr:spPr>
        <a:xfrm>
          <a:off x="8516353" y="3368841"/>
          <a:ext cx="902811"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7AAADADA-FD65-48EC-9726-19193AEBF907}" type="TxLink">
            <a:rPr lang="en-US" sz="1400" b="1" i="0" u="none" strike="noStrike">
              <a:solidFill>
                <a:schemeClr val="tx1"/>
              </a:solidFill>
              <a:latin typeface="Times New Roman" panose="02020603050405020304" pitchFamily="18" charset="0"/>
              <a:ea typeface="Calibri"/>
              <a:cs typeface="Times New Roman" panose="02020603050405020304" pitchFamily="18" charset="0"/>
            </a:rPr>
            <a:pPr/>
            <a:t>27,46,588</a:t>
          </a:fld>
          <a:endParaRPr lang="en-IN" sz="1200" b="1">
            <a:solidFill>
              <a:schemeClr val="tx1"/>
            </a:solidFill>
            <a:latin typeface="Times New Roman" panose="02020603050405020304" pitchFamily="18" charset="0"/>
            <a:cs typeface="Times New Roman" panose="02020603050405020304" pitchFamily="18" charset="0"/>
          </a:endParaRPr>
        </a:p>
      </xdr:txBody>
    </xdr:sp>
    <xdr:clientData/>
  </xdr:oneCellAnchor>
  <xdr:oneCellAnchor>
    <xdr:from>
      <xdr:col>13</xdr:col>
      <xdr:colOff>260685</xdr:colOff>
      <xdr:row>17</xdr:row>
      <xdr:rowOff>130342</xdr:rowOff>
    </xdr:from>
    <xdr:ext cx="813043" cy="298800"/>
    <xdr:sp macro="" textlink="'Pivot Tables'!D36">
      <xdr:nvSpPr>
        <xdr:cNvPr id="37" name="TextBox 36">
          <a:extLst>
            <a:ext uri="{FF2B5EF4-FFF2-40B4-BE49-F238E27FC236}">
              <a16:creationId xmlns:a16="http://schemas.microsoft.com/office/drawing/2014/main" id="{3C74ED39-847A-4686-9381-9CA57CA30B3F}"/>
            </a:ext>
          </a:extLst>
        </xdr:cNvPr>
        <xdr:cNvSpPr txBox="1"/>
      </xdr:nvSpPr>
      <xdr:spPr>
        <a:xfrm>
          <a:off x="7575885" y="3368842"/>
          <a:ext cx="813043"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9C96E4FC-AF95-4AA3-B028-AED144B50190}" type="TxLink">
            <a:rPr lang="en-US" sz="1400" b="1" i="0" u="none" strike="noStrike">
              <a:solidFill>
                <a:srgbClr val="000000"/>
              </a:solidFill>
              <a:latin typeface="Times New Roman" panose="02020603050405020304" pitchFamily="18" charset="0"/>
              <a:ea typeface="Calibri"/>
              <a:cs typeface="Times New Roman" panose="02020603050405020304" pitchFamily="18" charset="0"/>
            </a:rPr>
            <a:pPr/>
            <a:t>3,58,017</a:t>
          </a:fld>
          <a:endParaRPr lang="en-IN" sz="1400" b="1">
            <a:latin typeface="Times New Roman" panose="02020603050405020304" pitchFamily="18" charset="0"/>
            <a:cs typeface="Times New Roman" panose="02020603050405020304" pitchFamily="18" charset="0"/>
          </a:endParaRPr>
        </a:p>
      </xdr:txBody>
    </xdr:sp>
    <xdr:clientData/>
  </xdr:oneCellAnchor>
  <xdr:oneCellAnchor>
    <xdr:from>
      <xdr:col>14</xdr:col>
      <xdr:colOff>370973</xdr:colOff>
      <xdr:row>17</xdr:row>
      <xdr:rowOff>140367</xdr:rowOff>
    </xdr:from>
    <xdr:ext cx="300789" cy="311496"/>
    <xdr:sp macro="" textlink="">
      <xdr:nvSpPr>
        <xdr:cNvPr id="38" name="TextBox 37">
          <a:extLst>
            <a:ext uri="{FF2B5EF4-FFF2-40B4-BE49-F238E27FC236}">
              <a16:creationId xmlns:a16="http://schemas.microsoft.com/office/drawing/2014/main" id="{4F83CDAF-8B25-4035-8BBB-CE01508770BF}"/>
            </a:ext>
          </a:extLst>
        </xdr:cNvPr>
        <xdr:cNvSpPr txBox="1"/>
      </xdr:nvSpPr>
      <xdr:spPr>
        <a:xfrm>
          <a:off x="8295773" y="3378867"/>
          <a:ext cx="3007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&amp;</a:t>
          </a:r>
        </a:p>
      </xdr:txBody>
    </xdr:sp>
    <xdr:clientData/>
  </xdr:oneCellAnchor>
  <xdr:twoCellAnchor editAs="oneCell">
    <xdr:from>
      <xdr:col>9</xdr:col>
      <xdr:colOff>190502</xdr:colOff>
      <xdr:row>17</xdr:row>
      <xdr:rowOff>90237</xdr:rowOff>
    </xdr:from>
    <xdr:to>
      <xdr:col>10</xdr:col>
      <xdr:colOff>3</xdr:colOff>
      <xdr:row>19</xdr:row>
      <xdr:rowOff>130342</xdr:rowOff>
    </xdr:to>
    <xdr:pic>
      <xdr:nvPicPr>
        <xdr:cNvPr id="39" name="Graphic 38" descr="Coins with solid fill">
          <a:extLst>
            <a:ext uri="{FF2B5EF4-FFF2-40B4-BE49-F238E27FC236}">
              <a16:creationId xmlns:a16="http://schemas.microsoft.com/office/drawing/2014/main" id="{8D57A521-AD65-4C3D-B677-896C5CAFBF6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067302" y="3328737"/>
          <a:ext cx="419100" cy="421105"/>
        </a:xfrm>
        <a:prstGeom prst="rect">
          <a:avLst/>
        </a:prstGeom>
      </xdr:spPr>
    </xdr:pic>
    <xdr:clientData/>
  </xdr:twoCellAnchor>
  <xdr:oneCellAnchor>
    <xdr:from>
      <xdr:col>18</xdr:col>
      <xdr:colOff>360948</xdr:colOff>
      <xdr:row>17</xdr:row>
      <xdr:rowOff>80210</xdr:rowOff>
    </xdr:from>
    <xdr:ext cx="505267" cy="387222"/>
    <xdr:sp macro="" textlink="">
      <xdr:nvSpPr>
        <xdr:cNvPr id="40" name="TextBox 39">
          <a:extLst>
            <a:ext uri="{FF2B5EF4-FFF2-40B4-BE49-F238E27FC236}">
              <a16:creationId xmlns:a16="http://schemas.microsoft.com/office/drawing/2014/main" id="{F8778E48-80F5-4321-BED8-FD49F2E0DF98}"/>
            </a:ext>
          </a:extLst>
        </xdr:cNvPr>
        <xdr:cNvSpPr txBox="1"/>
      </xdr:nvSpPr>
      <xdr:spPr>
        <a:xfrm>
          <a:off x="10724148" y="3318710"/>
          <a:ext cx="505267" cy="3872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solidFill>
                <a:schemeClr val="tx1"/>
              </a:solidFill>
              <a:latin typeface="Times New Roman" panose="02020603050405020304" pitchFamily="18" charset="0"/>
              <a:cs typeface="Times New Roman" panose="02020603050405020304" pitchFamily="18" charset="0"/>
            </a:rPr>
            <a:t>3.6</a:t>
          </a:r>
        </a:p>
      </xdr:txBody>
    </xdr:sp>
    <xdr:clientData/>
  </xdr:oneCellAnchor>
  <xdr:twoCellAnchor editAs="oneCell">
    <xdr:from>
      <xdr:col>17</xdr:col>
      <xdr:colOff>531396</xdr:colOff>
      <xdr:row>17</xdr:row>
      <xdr:rowOff>110290</xdr:rowOff>
    </xdr:from>
    <xdr:to>
      <xdr:col>18</xdr:col>
      <xdr:colOff>290763</xdr:colOff>
      <xdr:row>19</xdr:row>
      <xdr:rowOff>100263</xdr:rowOff>
    </xdr:to>
    <xdr:pic>
      <xdr:nvPicPr>
        <xdr:cNvPr id="41" name="Graphic 40" descr="Briefcase with solid fill">
          <a:extLst>
            <a:ext uri="{FF2B5EF4-FFF2-40B4-BE49-F238E27FC236}">
              <a16:creationId xmlns:a16="http://schemas.microsoft.com/office/drawing/2014/main" id="{69BBC9E2-4330-4829-A2DB-8CCFC5EB9D0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284996" y="3348790"/>
          <a:ext cx="368968" cy="370973"/>
        </a:xfrm>
        <a:prstGeom prst="rect">
          <a:avLst/>
        </a:prstGeom>
      </xdr:spPr>
    </xdr:pic>
    <xdr:clientData/>
  </xdr:twoCellAnchor>
  <xdr:oneCellAnchor>
    <xdr:from>
      <xdr:col>5</xdr:col>
      <xdr:colOff>100263</xdr:colOff>
      <xdr:row>13</xdr:row>
      <xdr:rowOff>0</xdr:rowOff>
    </xdr:from>
    <xdr:ext cx="1579535" cy="250657"/>
    <xdr:sp macro="" textlink="">
      <xdr:nvSpPr>
        <xdr:cNvPr id="42" name="TextBox 41">
          <a:extLst>
            <a:ext uri="{FF2B5EF4-FFF2-40B4-BE49-F238E27FC236}">
              <a16:creationId xmlns:a16="http://schemas.microsoft.com/office/drawing/2014/main" id="{64A9AE27-DAC3-4A0D-8DD6-C0B22E783E24}"/>
            </a:ext>
          </a:extLst>
        </xdr:cNvPr>
        <xdr:cNvSpPr txBox="1"/>
      </xdr:nvSpPr>
      <xdr:spPr>
        <a:xfrm>
          <a:off x="2538663" y="2476500"/>
          <a:ext cx="1579535" cy="2506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Total Applications:</a:t>
          </a:r>
          <a:endParaRPr lang="en-IN" sz="1400" b="1">
            <a:solidFill>
              <a:schemeClr val="tx1"/>
            </a:solidFill>
            <a:effectLst/>
          </a:endParaRPr>
        </a:p>
        <a:p>
          <a:endParaRPr lang="en-IN" sz="1100"/>
        </a:p>
      </xdr:txBody>
    </xdr:sp>
    <xdr:clientData/>
  </xdr:oneCellAnchor>
  <xdr:oneCellAnchor>
    <xdr:from>
      <xdr:col>9</xdr:col>
      <xdr:colOff>142279</xdr:colOff>
      <xdr:row>13</xdr:row>
      <xdr:rowOff>47722</xdr:rowOff>
    </xdr:from>
    <xdr:ext cx="184731" cy="264560"/>
    <xdr:sp macro="" textlink="">
      <xdr:nvSpPr>
        <xdr:cNvPr id="43" name="TextBox 42">
          <a:extLst>
            <a:ext uri="{FF2B5EF4-FFF2-40B4-BE49-F238E27FC236}">
              <a16:creationId xmlns:a16="http://schemas.microsoft.com/office/drawing/2014/main" id="{6E0723D8-A35B-404E-BEBA-8539CCF8E940}"/>
            </a:ext>
          </a:extLst>
        </xdr:cNvPr>
        <xdr:cNvSpPr txBox="1"/>
      </xdr:nvSpPr>
      <xdr:spPr>
        <a:xfrm>
          <a:off x="5019079" y="2524222"/>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9</xdr:col>
      <xdr:colOff>164337</xdr:colOff>
      <xdr:row>12</xdr:row>
      <xdr:rowOff>190096</xdr:rowOff>
    </xdr:from>
    <xdr:ext cx="1048847" cy="311496"/>
    <xdr:sp macro="" textlink="">
      <xdr:nvSpPr>
        <xdr:cNvPr id="44" name="TextBox 43">
          <a:extLst>
            <a:ext uri="{FF2B5EF4-FFF2-40B4-BE49-F238E27FC236}">
              <a16:creationId xmlns:a16="http://schemas.microsoft.com/office/drawing/2014/main" id="{B0C964D3-CEBE-4E46-A4AE-EA11D1C5671D}"/>
            </a:ext>
          </a:extLst>
        </xdr:cNvPr>
        <xdr:cNvSpPr txBox="1"/>
      </xdr:nvSpPr>
      <xdr:spPr>
        <a:xfrm>
          <a:off x="5041137" y="2476096"/>
          <a:ext cx="1048847"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solidFill>
                <a:schemeClr val="tx1"/>
              </a:solidFill>
            </a:rPr>
            <a:t>Interviews:</a:t>
          </a:r>
        </a:p>
      </xdr:txBody>
    </xdr:sp>
    <xdr:clientData/>
  </xdr:oneCellAnchor>
  <xdr:oneCellAnchor>
    <xdr:from>
      <xdr:col>13</xdr:col>
      <xdr:colOff>320842</xdr:colOff>
      <xdr:row>12</xdr:row>
      <xdr:rowOff>190499</xdr:rowOff>
    </xdr:from>
    <xdr:ext cx="731921" cy="310817"/>
    <xdr:sp macro="" textlink="">
      <xdr:nvSpPr>
        <xdr:cNvPr id="45" name="TextBox 44">
          <a:extLst>
            <a:ext uri="{FF2B5EF4-FFF2-40B4-BE49-F238E27FC236}">
              <a16:creationId xmlns:a16="http://schemas.microsoft.com/office/drawing/2014/main" id="{CD42F480-F3EA-49D1-949B-D8A6B19C5AFB}"/>
            </a:ext>
          </a:extLst>
        </xdr:cNvPr>
        <xdr:cNvSpPr txBox="1"/>
      </xdr:nvSpPr>
      <xdr:spPr>
        <a:xfrm>
          <a:off x="7636042" y="2476499"/>
          <a:ext cx="731921" cy="3108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Offers:</a:t>
          </a:r>
          <a:endParaRPr lang="en-IN" sz="1400" b="1">
            <a:solidFill>
              <a:schemeClr val="tx1"/>
            </a:solidFill>
            <a:effectLst/>
          </a:endParaRPr>
        </a:p>
        <a:p>
          <a:endParaRPr lang="en-IN" sz="1100"/>
        </a:p>
      </xdr:txBody>
    </xdr:sp>
    <xdr:clientData/>
  </xdr:oneCellAnchor>
  <xdr:oneCellAnchor>
    <xdr:from>
      <xdr:col>17</xdr:col>
      <xdr:colOff>431133</xdr:colOff>
      <xdr:row>13</xdr:row>
      <xdr:rowOff>0</xdr:rowOff>
    </xdr:from>
    <xdr:ext cx="1534026" cy="310816"/>
    <xdr:sp macro="" textlink="">
      <xdr:nvSpPr>
        <xdr:cNvPr id="46" name="TextBox 45">
          <a:extLst>
            <a:ext uri="{FF2B5EF4-FFF2-40B4-BE49-F238E27FC236}">
              <a16:creationId xmlns:a16="http://schemas.microsoft.com/office/drawing/2014/main" id="{EB143752-77CC-4F30-A62D-D696F9966ED3}"/>
            </a:ext>
          </a:extLst>
        </xdr:cNvPr>
        <xdr:cNvSpPr txBox="1"/>
      </xdr:nvSpPr>
      <xdr:spPr>
        <a:xfrm>
          <a:off x="10184733" y="2476500"/>
          <a:ext cx="1534026" cy="31081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Times New Roman" panose="02020603050405020304" pitchFamily="18" charset="0"/>
            </a:rPr>
            <a:t>Acceptance Rate:</a:t>
          </a:r>
          <a:endParaRPr lang="en-IN" sz="1400" b="1">
            <a:effectLst/>
            <a:latin typeface="+mn-lt"/>
            <a:cs typeface="Times New Roman" panose="02020603050405020304" pitchFamily="18" charset="0"/>
          </a:endParaRPr>
        </a:p>
        <a:p>
          <a:endParaRPr lang="en-IN" sz="1100"/>
        </a:p>
      </xdr:txBody>
    </xdr:sp>
    <xdr:clientData/>
  </xdr:oneCellAnchor>
  <xdr:oneCellAnchor>
    <xdr:from>
      <xdr:col>5</xdr:col>
      <xdr:colOff>100264</xdr:colOff>
      <xdr:row>16</xdr:row>
      <xdr:rowOff>90237</xdr:rowOff>
    </xdr:from>
    <xdr:ext cx="1319207" cy="370974"/>
    <xdr:sp macro="" textlink="">
      <xdr:nvSpPr>
        <xdr:cNvPr id="47" name="TextBox 46">
          <a:extLst>
            <a:ext uri="{FF2B5EF4-FFF2-40B4-BE49-F238E27FC236}">
              <a16:creationId xmlns:a16="http://schemas.microsoft.com/office/drawing/2014/main" id="{F2F23674-5E80-4B16-AB5A-89A026D2B175}"/>
            </a:ext>
          </a:extLst>
        </xdr:cNvPr>
        <xdr:cNvSpPr txBox="1"/>
      </xdr:nvSpPr>
      <xdr:spPr>
        <a:xfrm>
          <a:off x="2538664" y="3138237"/>
          <a:ext cx="1319207" cy="3709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Rejection Rate:</a:t>
          </a:r>
          <a:endParaRPr lang="en-IN">
            <a:effectLst/>
          </a:endParaRPr>
        </a:p>
      </xdr:txBody>
    </xdr:sp>
    <xdr:clientData/>
  </xdr:oneCellAnchor>
  <xdr:oneCellAnchor>
    <xdr:from>
      <xdr:col>9</xdr:col>
      <xdr:colOff>90236</xdr:colOff>
      <xdr:row>16</xdr:row>
      <xdr:rowOff>70183</xdr:rowOff>
    </xdr:from>
    <xdr:ext cx="1112921" cy="350922"/>
    <xdr:sp macro="" textlink="">
      <xdr:nvSpPr>
        <xdr:cNvPr id="48" name="TextBox 47">
          <a:extLst>
            <a:ext uri="{FF2B5EF4-FFF2-40B4-BE49-F238E27FC236}">
              <a16:creationId xmlns:a16="http://schemas.microsoft.com/office/drawing/2014/main" id="{1F7CB49B-C633-4421-B702-019F6FC1C2E0}"/>
            </a:ext>
          </a:extLst>
        </xdr:cNvPr>
        <xdr:cNvSpPr txBox="1"/>
      </xdr:nvSpPr>
      <xdr:spPr>
        <a:xfrm>
          <a:off x="4967036" y="3118183"/>
          <a:ext cx="1112921" cy="3509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Salary:</a:t>
          </a:r>
          <a:endParaRPr lang="en-IN" sz="1400">
            <a:effectLst/>
          </a:endParaRPr>
        </a:p>
        <a:p>
          <a:endParaRPr lang="en-IN" sz="1100"/>
        </a:p>
      </xdr:txBody>
    </xdr:sp>
    <xdr:clientData/>
  </xdr:oneCellAnchor>
  <xdr:oneCellAnchor>
    <xdr:from>
      <xdr:col>21</xdr:col>
      <xdr:colOff>471237</xdr:colOff>
      <xdr:row>14</xdr:row>
      <xdr:rowOff>60158</xdr:rowOff>
    </xdr:from>
    <xdr:ext cx="184731" cy="264560"/>
    <xdr:sp macro="" textlink="">
      <xdr:nvSpPr>
        <xdr:cNvPr id="49" name="TextBox 48">
          <a:extLst>
            <a:ext uri="{FF2B5EF4-FFF2-40B4-BE49-F238E27FC236}">
              <a16:creationId xmlns:a16="http://schemas.microsoft.com/office/drawing/2014/main" id="{EDCA5D25-B35E-4AF2-8341-A75310E1D79B}"/>
            </a:ext>
          </a:extLst>
        </xdr:cNvPr>
        <xdr:cNvSpPr txBox="1"/>
      </xdr:nvSpPr>
      <xdr:spPr>
        <a:xfrm>
          <a:off x="12663237" y="272715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13</xdr:col>
      <xdr:colOff>220579</xdr:colOff>
      <xdr:row>16</xdr:row>
      <xdr:rowOff>80210</xdr:rowOff>
    </xdr:from>
    <xdr:to>
      <xdr:col>15</xdr:col>
      <xdr:colOff>576370</xdr:colOff>
      <xdr:row>18</xdr:row>
      <xdr:rowOff>83291</xdr:rowOff>
    </xdr:to>
    <xdr:pic>
      <xdr:nvPicPr>
        <xdr:cNvPr id="50" name="Picture 49">
          <a:extLst>
            <a:ext uri="{FF2B5EF4-FFF2-40B4-BE49-F238E27FC236}">
              <a16:creationId xmlns:a16="http://schemas.microsoft.com/office/drawing/2014/main" id="{1DCB345A-DBFC-4C35-B3D0-599007432E37}"/>
            </a:ext>
          </a:extLst>
        </xdr:cNvPr>
        <xdr:cNvPicPr>
          <a:picLocks noChangeAspect="1"/>
        </xdr:cNvPicPr>
      </xdr:nvPicPr>
      <xdr:blipFill>
        <a:blip xmlns:r="http://schemas.openxmlformats.org/officeDocument/2006/relationships" r:embed="rId15"/>
        <a:stretch>
          <a:fillRect/>
        </a:stretch>
      </xdr:blipFill>
      <xdr:spPr>
        <a:xfrm>
          <a:off x="7535779" y="3128210"/>
          <a:ext cx="1574990" cy="384081"/>
        </a:xfrm>
        <a:prstGeom prst="rect">
          <a:avLst/>
        </a:prstGeom>
      </xdr:spPr>
    </xdr:pic>
    <xdr:clientData/>
  </xdr:twoCellAnchor>
  <xdr:oneCellAnchor>
    <xdr:from>
      <xdr:col>17</xdr:col>
      <xdr:colOff>461211</xdr:colOff>
      <xdr:row>16</xdr:row>
      <xdr:rowOff>70184</xdr:rowOff>
    </xdr:from>
    <xdr:ext cx="1370824" cy="340895"/>
    <xdr:sp macro="" textlink="">
      <xdr:nvSpPr>
        <xdr:cNvPr id="51" name="TextBox 50">
          <a:extLst>
            <a:ext uri="{FF2B5EF4-FFF2-40B4-BE49-F238E27FC236}">
              <a16:creationId xmlns:a16="http://schemas.microsoft.com/office/drawing/2014/main" id="{7E10B746-D165-4FB8-A5A9-D4D48952E7E9}"/>
            </a:ext>
          </a:extLst>
        </xdr:cNvPr>
        <xdr:cNvSpPr txBox="1"/>
      </xdr:nvSpPr>
      <xdr:spPr>
        <a:xfrm>
          <a:off x="10214811" y="3118184"/>
          <a:ext cx="1370824" cy="3408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Avg Experience:</a:t>
          </a:r>
          <a:endParaRPr lang="en-IN" sz="1400">
            <a:effectLst/>
          </a:endParaRPr>
        </a:p>
        <a:p>
          <a:endParaRPr lang="en-IN" sz="1100"/>
        </a:p>
      </xdr:txBody>
    </xdr:sp>
    <xdr:clientData/>
  </xdr:oneCellAnchor>
  <xdr:twoCellAnchor>
    <xdr:from>
      <xdr:col>1</xdr:col>
      <xdr:colOff>280737</xdr:colOff>
      <xdr:row>11</xdr:row>
      <xdr:rowOff>60158</xdr:rowOff>
    </xdr:from>
    <xdr:to>
      <xdr:col>3</xdr:col>
      <xdr:colOff>391026</xdr:colOff>
      <xdr:row>13</xdr:row>
      <xdr:rowOff>70184</xdr:rowOff>
    </xdr:to>
    <xdr:sp macro="" textlink="">
      <xdr:nvSpPr>
        <xdr:cNvPr id="52" name="Rectangle: Rounded Corners 51">
          <a:hlinkClick xmlns:r="http://schemas.openxmlformats.org/officeDocument/2006/relationships" r:id="rId16"/>
          <a:extLst>
            <a:ext uri="{FF2B5EF4-FFF2-40B4-BE49-F238E27FC236}">
              <a16:creationId xmlns:a16="http://schemas.microsoft.com/office/drawing/2014/main" id="{91097633-8645-4B81-93EA-5A8E17BA85A1}"/>
            </a:ext>
          </a:extLst>
        </xdr:cNvPr>
        <xdr:cNvSpPr/>
      </xdr:nvSpPr>
      <xdr:spPr>
        <a:xfrm>
          <a:off x="280737" y="2155658"/>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Dashboard</a:t>
          </a:r>
          <a:r>
            <a:rPr lang="en-IN"/>
            <a:t> </a:t>
          </a:r>
          <a:endParaRPr lang="en-IN" sz="1100"/>
        </a:p>
      </xdr:txBody>
    </xdr:sp>
    <xdr:clientData/>
  </xdr:twoCellAnchor>
  <xdr:twoCellAnchor>
    <xdr:from>
      <xdr:col>1</xdr:col>
      <xdr:colOff>280737</xdr:colOff>
      <xdr:row>14</xdr:row>
      <xdr:rowOff>80211</xdr:rowOff>
    </xdr:from>
    <xdr:to>
      <xdr:col>3</xdr:col>
      <xdr:colOff>391026</xdr:colOff>
      <xdr:row>16</xdr:row>
      <xdr:rowOff>90237</xdr:rowOff>
    </xdr:to>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CF1ED8C8-F7AB-4485-930E-DB3E3B9158DE}"/>
            </a:ext>
          </a:extLst>
        </xdr:cNvPr>
        <xdr:cNvSpPr/>
      </xdr:nvSpPr>
      <xdr:spPr>
        <a:xfrm>
          <a:off x="280737" y="2747211"/>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Recruitment</a:t>
          </a:r>
          <a:r>
            <a:rPr lang="en-IN">
              <a:solidFill>
                <a:schemeClr val="bg1"/>
              </a:solidFill>
            </a:rPr>
            <a:t> </a:t>
          </a:r>
          <a:endParaRPr lang="en-IN" sz="1100">
            <a:solidFill>
              <a:schemeClr val="bg1"/>
            </a:solidFill>
          </a:endParaRPr>
        </a:p>
      </xdr:txBody>
    </xdr:sp>
    <xdr:clientData/>
  </xdr:twoCellAnchor>
  <xdr:twoCellAnchor>
    <xdr:from>
      <xdr:col>1</xdr:col>
      <xdr:colOff>270711</xdr:colOff>
      <xdr:row>17</xdr:row>
      <xdr:rowOff>100263</xdr:rowOff>
    </xdr:from>
    <xdr:to>
      <xdr:col>3</xdr:col>
      <xdr:colOff>381000</xdr:colOff>
      <xdr:row>19</xdr:row>
      <xdr:rowOff>110289</xdr:rowOff>
    </xdr:to>
    <xdr:sp macro="" textlink="">
      <xdr:nvSpPr>
        <xdr:cNvPr id="54" name="Rectangle: Rounded Corners 53">
          <a:hlinkClick xmlns:r="http://schemas.openxmlformats.org/officeDocument/2006/relationships" r:id="rId18"/>
          <a:extLst>
            <a:ext uri="{FF2B5EF4-FFF2-40B4-BE49-F238E27FC236}">
              <a16:creationId xmlns:a16="http://schemas.microsoft.com/office/drawing/2014/main" id="{803ADB55-87E3-4354-9447-13790643FF0D}"/>
            </a:ext>
          </a:extLst>
        </xdr:cNvPr>
        <xdr:cNvSpPr/>
      </xdr:nvSpPr>
      <xdr:spPr>
        <a:xfrm>
          <a:off x="270711" y="3338763"/>
          <a:ext cx="1329489" cy="391026"/>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bg1"/>
              </a:solidFill>
            </a:rPr>
            <a:t>Experience</a:t>
          </a:r>
          <a:endParaRPr lang="en-IN" sz="1100" b="1">
            <a:solidFill>
              <a:schemeClr val="bg1"/>
            </a:solidFill>
          </a:endParaRPr>
        </a:p>
      </xdr:txBody>
    </xdr:sp>
    <xdr:clientData/>
  </xdr:twoCellAnchor>
  <xdr:twoCellAnchor>
    <xdr:from>
      <xdr:col>1</xdr:col>
      <xdr:colOff>280738</xdr:colOff>
      <xdr:row>20</xdr:row>
      <xdr:rowOff>130342</xdr:rowOff>
    </xdr:from>
    <xdr:to>
      <xdr:col>3</xdr:col>
      <xdr:colOff>391027</xdr:colOff>
      <xdr:row>22</xdr:row>
      <xdr:rowOff>140368</xdr:rowOff>
    </xdr:to>
    <xdr:sp macro="" textlink="">
      <xdr:nvSpPr>
        <xdr:cNvPr id="55" name="Rectangle: Rounded Corners 54">
          <a:hlinkClick xmlns:r="http://schemas.openxmlformats.org/officeDocument/2006/relationships" r:id="rId19"/>
          <a:extLst>
            <a:ext uri="{FF2B5EF4-FFF2-40B4-BE49-F238E27FC236}">
              <a16:creationId xmlns:a16="http://schemas.microsoft.com/office/drawing/2014/main" id="{5A501FEF-0AE5-4561-93C9-71C63269BD52}"/>
            </a:ext>
          </a:extLst>
        </xdr:cNvPr>
        <xdr:cNvSpPr/>
      </xdr:nvSpPr>
      <xdr:spPr>
        <a:xfrm>
          <a:off x="280738" y="3940342"/>
          <a:ext cx="1329489" cy="391026"/>
        </a:xfrm>
        <a:prstGeom prst="round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chemeClr val="tx1"/>
              </a:solidFill>
            </a:rPr>
            <a:t>Salary</a:t>
          </a:r>
          <a:endParaRPr lang="en-IN" sz="1100">
            <a:solidFill>
              <a:schemeClr val="tx1"/>
            </a:solidFill>
          </a:endParaRPr>
        </a:p>
      </xdr:txBody>
    </xdr:sp>
    <xdr:clientData/>
  </xdr:twoCellAnchor>
  <xdr:twoCellAnchor>
    <xdr:from>
      <xdr:col>13</xdr:col>
      <xdr:colOff>73269</xdr:colOff>
      <xdr:row>22</xdr:row>
      <xdr:rowOff>166135</xdr:rowOff>
    </xdr:from>
    <xdr:to>
      <xdr:col>20</xdr:col>
      <xdr:colOff>209341</xdr:colOff>
      <xdr:row>33</xdr:row>
      <xdr:rowOff>132907</xdr:rowOff>
    </xdr:to>
    <xdr:sp macro="" textlink="">
      <xdr:nvSpPr>
        <xdr:cNvPr id="56" name="Rectangle 55">
          <a:extLst>
            <a:ext uri="{FF2B5EF4-FFF2-40B4-BE49-F238E27FC236}">
              <a16:creationId xmlns:a16="http://schemas.microsoft.com/office/drawing/2014/main" id="{83D79945-43DE-4670-B8B1-9CFFE8E5356F}"/>
            </a:ext>
          </a:extLst>
        </xdr:cNvPr>
        <xdr:cNvSpPr/>
      </xdr:nvSpPr>
      <xdr:spPr>
        <a:xfrm>
          <a:off x="7383153" y="4308402"/>
          <a:ext cx="4400171" cy="2037906"/>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400" b="1" u="sng">
              <a:solidFill>
                <a:schemeClr val="tx1"/>
              </a:solidFill>
            </a:rPr>
            <a:t>Note:</a:t>
          </a:r>
          <a:r>
            <a:rPr lang="en-IN" sz="1400" b="1">
              <a:solidFill>
                <a:schemeClr val="tx1"/>
              </a:solidFill>
            </a:rPr>
            <a:t>This dashboard provides a detailed analysis of salary trends across roles, experience levels, and companies. It highlights key metrics such as average salary, salary range, and total compensation to give a clear view of pay distribution.</a:t>
          </a:r>
        </a:p>
        <a:p>
          <a:r>
            <a:rPr lang="en-IN" sz="1400" b="1">
              <a:solidFill>
                <a:schemeClr val="tx1"/>
              </a:solidFill>
            </a:rPr>
            <a:t>The visualizations help compare salaries across different segments, while interactive filters enable deeper exploration. Overall, it supports better understanding of compensation patterns and informed decision-making.</a:t>
          </a:r>
        </a:p>
        <a:p>
          <a:endParaRPr lang="en-IN" sz="1300" b="1">
            <a:solidFill>
              <a:schemeClr val="tx1"/>
            </a:solidFill>
          </a:endParaRPr>
        </a:p>
        <a:p>
          <a:endParaRPr lang="en-IN" sz="1100"/>
        </a:p>
      </xdr:txBody>
    </xdr:sp>
    <xdr:clientData/>
  </xdr:twoCellAnchor>
  <xdr:twoCellAnchor>
    <xdr:from>
      <xdr:col>4</xdr:col>
      <xdr:colOff>488656</xdr:colOff>
      <xdr:row>22</xdr:row>
      <xdr:rowOff>110756</xdr:rowOff>
    </xdr:from>
    <xdr:to>
      <xdr:col>12</xdr:col>
      <xdr:colOff>310116</xdr:colOff>
      <xdr:row>34</xdr:row>
      <xdr:rowOff>0</xdr:rowOff>
    </xdr:to>
    <xdr:graphicFrame macro="">
      <xdr:nvGraphicFramePr>
        <xdr:cNvPr id="57" name="Chart 56">
          <a:extLst>
            <a:ext uri="{FF2B5EF4-FFF2-40B4-BE49-F238E27FC236}">
              <a16:creationId xmlns:a16="http://schemas.microsoft.com/office/drawing/2014/main" id="{322D721E-3EC5-4864-8055-0FEE82738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13</xdr:col>
      <xdr:colOff>55377</xdr:colOff>
      <xdr:row>34</xdr:row>
      <xdr:rowOff>110755</xdr:rowOff>
    </xdr:from>
    <xdr:to>
      <xdr:col>20</xdr:col>
      <xdr:colOff>221511</xdr:colOff>
      <xdr:row>48</xdr:row>
      <xdr:rowOff>44302</xdr:rowOff>
    </xdr:to>
    <xdr:graphicFrame macro="">
      <xdr:nvGraphicFramePr>
        <xdr:cNvPr id="58" name="Chart 57">
          <a:extLst>
            <a:ext uri="{FF2B5EF4-FFF2-40B4-BE49-F238E27FC236}">
              <a16:creationId xmlns:a16="http://schemas.microsoft.com/office/drawing/2014/main" id="{8BA92A3D-4B7E-4205-975A-B15B87683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4</xdr:col>
      <xdr:colOff>488655</xdr:colOff>
      <xdr:row>34</xdr:row>
      <xdr:rowOff>110755</xdr:rowOff>
    </xdr:from>
    <xdr:to>
      <xdr:col>12</xdr:col>
      <xdr:colOff>287965</xdr:colOff>
      <xdr:row>48</xdr:row>
      <xdr:rowOff>44302</xdr:rowOff>
    </xdr:to>
    <xdr:graphicFrame macro="">
      <xdr:nvGraphicFramePr>
        <xdr:cNvPr id="59" name="Chart 58">
          <a:extLst>
            <a:ext uri="{FF2B5EF4-FFF2-40B4-BE49-F238E27FC236}">
              <a16:creationId xmlns:a16="http://schemas.microsoft.com/office/drawing/2014/main" id="{53BE6407-F2E4-438B-8EE8-1E3BF4EBE1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oneCellAnchor>
    <xdr:from>
      <xdr:col>5</xdr:col>
      <xdr:colOff>506753</xdr:colOff>
      <xdr:row>17</xdr:row>
      <xdr:rowOff>101587</xdr:rowOff>
    </xdr:from>
    <xdr:ext cx="631583" cy="405432"/>
    <xdr:sp macro="" textlink="">
      <xdr:nvSpPr>
        <xdr:cNvPr id="60" name="TextBox 59">
          <a:extLst>
            <a:ext uri="{FF2B5EF4-FFF2-40B4-BE49-F238E27FC236}">
              <a16:creationId xmlns:a16="http://schemas.microsoft.com/office/drawing/2014/main" id="{C4832835-5BDB-4858-BA15-B60BBC208FAA}"/>
            </a:ext>
          </a:extLst>
        </xdr:cNvPr>
        <xdr:cNvSpPr txBox="1"/>
      </xdr:nvSpPr>
      <xdr:spPr>
        <a:xfrm>
          <a:off x="2943381" y="3302430"/>
          <a:ext cx="63158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b="1"/>
            <a:t>23%</a:t>
          </a:r>
        </a:p>
      </xdr:txBody>
    </xdr:sp>
    <xdr:clientData/>
  </xdr:oneCellAnchor>
  <xdr:twoCellAnchor editAs="oneCell">
    <xdr:from>
      <xdr:col>5</xdr:col>
      <xdr:colOff>157414</xdr:colOff>
      <xdr:row>17</xdr:row>
      <xdr:rowOff>114603</xdr:rowOff>
    </xdr:from>
    <xdr:to>
      <xdr:col>5</xdr:col>
      <xdr:colOff>567350</xdr:colOff>
      <xdr:row>19</xdr:row>
      <xdr:rowOff>143147</xdr:rowOff>
    </xdr:to>
    <xdr:pic>
      <xdr:nvPicPr>
        <xdr:cNvPr id="61" name="Graphic 60" descr="Close with solid fill">
          <a:extLst>
            <a:ext uri="{FF2B5EF4-FFF2-40B4-BE49-F238E27FC236}">
              <a16:creationId xmlns:a16="http://schemas.microsoft.com/office/drawing/2014/main" id="{7E756A1F-60B4-40B1-8D7A-1401BF12A4AE}"/>
            </a:ext>
          </a:extLst>
        </xdr:cNvPr>
        <xdr:cNvPicPr>
          <a:picLocks noChangeAspect="1"/>
        </xdr:cNvPicPr>
      </xdr:nvPicPr>
      <xdr:blipFill>
        <a:blip xmlns:r="http://schemas.openxmlformats.org/officeDocument/2006/relationships" r:embed="rId23">
          <a:extLst>
            <a:ext uri="{96DAC541-7B7A-43D3-8B79-37D633B846F1}">
              <asvg:svgBlip xmlns:asvg="http://schemas.microsoft.com/office/drawing/2016/SVG/main" r:embed="rId24"/>
            </a:ext>
          </a:extLst>
        </a:blip>
        <a:stretch>
          <a:fillRect/>
        </a:stretch>
      </xdr:blipFill>
      <xdr:spPr>
        <a:xfrm>
          <a:off x="2594042" y="3315446"/>
          <a:ext cx="409936" cy="405114"/>
        </a:xfrm>
        <a:prstGeom prst="rect">
          <a:avLst/>
        </a:prstGeom>
      </xdr:spPr>
    </xdr:pic>
    <xdr:clientData/>
  </xdr:twoCellAnchor>
  <xdr:twoCellAnchor editAs="oneCell">
    <xdr:from>
      <xdr:col>1</xdr:col>
      <xdr:colOff>52958</xdr:colOff>
      <xdr:row>0</xdr:row>
      <xdr:rowOff>115845</xdr:rowOff>
    </xdr:from>
    <xdr:to>
      <xdr:col>3</xdr:col>
      <xdr:colOff>563119</xdr:colOff>
      <xdr:row>6</xdr:row>
      <xdr:rowOff>154037</xdr:rowOff>
    </xdr:to>
    <xdr:pic>
      <xdr:nvPicPr>
        <xdr:cNvPr id="62" name="Picture 61">
          <a:extLst>
            <a:ext uri="{FF2B5EF4-FFF2-40B4-BE49-F238E27FC236}">
              <a16:creationId xmlns:a16="http://schemas.microsoft.com/office/drawing/2014/main" id="{EA7363D8-E6FB-4D52-BA8F-AA8EF915B71D}"/>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665279" y="115845"/>
          <a:ext cx="1734804" cy="1181192"/>
        </a:xfrm>
        <a:prstGeom prst="ellipse">
          <a:avLst/>
        </a:prstGeom>
        <a:ln w="63500" cap="rnd">
          <a:solidFill>
            <a:schemeClr val="bg1">
              <a:lumMod val="95000"/>
            </a:schemeClr>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drawings/drawing6.xml><?xml version="1.0" encoding="utf-8"?>
<c:userShapes xmlns:c="http://schemas.openxmlformats.org/drawingml/2006/chart">
  <cdr:relSizeAnchor xmlns:cdr="http://schemas.openxmlformats.org/drawingml/2006/chartDrawing">
    <cdr:from>
      <cdr:x>0.35224</cdr:x>
      <cdr:y>0</cdr:y>
    </cdr:from>
    <cdr:to>
      <cdr:x>0.60703</cdr:x>
      <cdr:y>0.17088</cdr:y>
    </cdr:to>
    <cdr:sp macro="" textlink="">
      <cdr:nvSpPr>
        <cdr:cNvPr id="2" name="TextBox 1">
          <a:extLst xmlns:a="http://schemas.openxmlformats.org/drawingml/2006/main">
            <a:ext uri="{FF2B5EF4-FFF2-40B4-BE49-F238E27FC236}">
              <a16:creationId xmlns:a16="http://schemas.microsoft.com/office/drawing/2014/main" id="{C64DCA3D-8BE9-28AC-406A-4A66B09A4123}"/>
            </a:ext>
          </a:extLst>
        </cdr:cNvPr>
        <cdr:cNvSpPr txBox="1"/>
      </cdr:nvSpPr>
      <cdr:spPr>
        <a:xfrm xmlns:a="http://schemas.openxmlformats.org/drawingml/2006/main">
          <a:off x="1566354" y="0"/>
          <a:ext cx="1132973" cy="404698"/>
        </a:xfrm>
        <a:prstGeom xmlns:a="http://schemas.openxmlformats.org/drawingml/2006/main" prst="rect">
          <a:avLst/>
        </a:prstGeom>
      </cdr:spPr>
      <cdr:txBody>
        <a:bodyPr xmlns:a="http://schemas.openxmlformats.org/drawingml/2006/main" vertOverflow="clip" wrap="none" rtlCol="0" anchor="t"/>
        <a:lstStyle xmlns:a="http://schemas.openxmlformats.org/drawingml/2006/main"/>
        <a:p xmlns:a="http://schemas.openxmlformats.org/drawingml/2006/main">
          <a:pPr algn="ctr"/>
          <a:r>
            <a:rPr lang="en-IN" sz="1400" b="1"/>
            <a:t>Salary Analysis by Role</a:t>
          </a:r>
          <a:endParaRPr lang="en-IN" sz="1400" b="1" kern="1200"/>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381000</xdr:colOff>
      <xdr:row>0</xdr:row>
      <xdr:rowOff>133350</xdr:rowOff>
    </xdr:from>
    <xdr:to>
      <xdr:col>10</xdr:col>
      <xdr:colOff>76200</xdr:colOff>
      <xdr:row>15</xdr:row>
      <xdr:rowOff>19050</xdr:rowOff>
    </xdr:to>
    <xdr:graphicFrame macro="">
      <xdr:nvGraphicFramePr>
        <xdr:cNvPr id="2" name="Chart 1">
          <a:extLst>
            <a:ext uri="{FF2B5EF4-FFF2-40B4-BE49-F238E27FC236}">
              <a16:creationId xmlns:a16="http://schemas.microsoft.com/office/drawing/2014/main" id="{8DCA4E30-9594-0019-C878-4420F409BE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247650</xdr:colOff>
      <xdr:row>1</xdr:row>
      <xdr:rowOff>157162</xdr:rowOff>
    </xdr:from>
    <xdr:to>
      <xdr:col>19</xdr:col>
      <xdr:colOff>457200</xdr:colOff>
      <xdr:row>16</xdr:row>
      <xdr:rowOff>42862</xdr:rowOff>
    </xdr:to>
    <xdr:graphicFrame macro="">
      <xdr:nvGraphicFramePr>
        <xdr:cNvPr id="3" name="Chart 2">
          <a:extLst>
            <a:ext uri="{FF2B5EF4-FFF2-40B4-BE49-F238E27FC236}">
              <a16:creationId xmlns:a16="http://schemas.microsoft.com/office/drawing/2014/main" id="{4764A814-591C-B81A-B953-20B120CD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104775</xdr:colOff>
      <xdr:row>21</xdr:row>
      <xdr:rowOff>52387</xdr:rowOff>
    </xdr:from>
    <xdr:to>
      <xdr:col>11</xdr:col>
      <xdr:colOff>638175</xdr:colOff>
      <xdr:row>35</xdr:row>
      <xdr:rowOff>128587</xdr:rowOff>
    </xdr:to>
    <xdr:graphicFrame macro="">
      <xdr:nvGraphicFramePr>
        <xdr:cNvPr id="4" name="Chart 3">
          <a:extLst>
            <a:ext uri="{FF2B5EF4-FFF2-40B4-BE49-F238E27FC236}">
              <a16:creationId xmlns:a16="http://schemas.microsoft.com/office/drawing/2014/main" id="{7A9A773D-AFD4-B6F2-CDEC-6A44CA504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200025</xdr:colOff>
      <xdr:row>21</xdr:row>
      <xdr:rowOff>119062</xdr:rowOff>
    </xdr:from>
    <xdr:to>
      <xdr:col>25</xdr:col>
      <xdr:colOff>400050</xdr:colOff>
      <xdr:row>36</xdr:row>
      <xdr:rowOff>4762</xdr:rowOff>
    </xdr:to>
    <xdr:graphicFrame macro="">
      <xdr:nvGraphicFramePr>
        <xdr:cNvPr id="5" name="Company vs Status">
          <a:extLst>
            <a:ext uri="{FF2B5EF4-FFF2-40B4-BE49-F238E27FC236}">
              <a16:creationId xmlns:a16="http://schemas.microsoft.com/office/drawing/2014/main" id="{8205DDCC-F039-8FF3-0F9C-EEB0E15228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762000</xdr:colOff>
      <xdr:row>36</xdr:row>
      <xdr:rowOff>147637</xdr:rowOff>
    </xdr:from>
    <xdr:to>
      <xdr:col>9</xdr:col>
      <xdr:colOff>590550</xdr:colOff>
      <xdr:row>51</xdr:row>
      <xdr:rowOff>33337</xdr:rowOff>
    </xdr:to>
    <xdr:graphicFrame macro="">
      <xdr:nvGraphicFramePr>
        <xdr:cNvPr id="6" name="Chart 5">
          <a:extLst>
            <a:ext uri="{FF2B5EF4-FFF2-40B4-BE49-F238E27FC236}">
              <a16:creationId xmlns:a16="http://schemas.microsoft.com/office/drawing/2014/main" id="{4A0546FF-D1D3-EB57-FE31-908A0749C0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762000</xdr:colOff>
      <xdr:row>52</xdr:row>
      <xdr:rowOff>90487</xdr:rowOff>
    </xdr:from>
    <xdr:to>
      <xdr:col>9</xdr:col>
      <xdr:colOff>590550</xdr:colOff>
      <xdr:row>66</xdr:row>
      <xdr:rowOff>166687</xdr:rowOff>
    </xdr:to>
    <xdr:graphicFrame macro="">
      <xdr:nvGraphicFramePr>
        <xdr:cNvPr id="7" name="Chart 6">
          <a:extLst>
            <a:ext uri="{FF2B5EF4-FFF2-40B4-BE49-F238E27FC236}">
              <a16:creationId xmlns:a16="http://schemas.microsoft.com/office/drawing/2014/main" id="{9B700B97-56AF-B437-3118-F221F1E95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266700</xdr:colOff>
      <xdr:row>47</xdr:row>
      <xdr:rowOff>71437</xdr:rowOff>
    </xdr:from>
    <xdr:to>
      <xdr:col>22</xdr:col>
      <xdr:colOff>38100</xdr:colOff>
      <xdr:row>61</xdr:row>
      <xdr:rowOff>147637</xdr:rowOff>
    </xdr:to>
    <xdr:graphicFrame macro="">
      <xdr:nvGraphicFramePr>
        <xdr:cNvPr id="8" name="Chart 7">
          <a:extLst>
            <a:ext uri="{FF2B5EF4-FFF2-40B4-BE49-F238E27FC236}">
              <a16:creationId xmlns:a16="http://schemas.microsoft.com/office/drawing/2014/main" id="{01A55695-7203-E36D-C596-382AEC86A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361950</xdr:colOff>
      <xdr:row>1</xdr:row>
      <xdr:rowOff>23812</xdr:rowOff>
    </xdr:from>
    <xdr:to>
      <xdr:col>32</xdr:col>
      <xdr:colOff>57150</xdr:colOff>
      <xdr:row>15</xdr:row>
      <xdr:rowOff>100012</xdr:rowOff>
    </xdr:to>
    <xdr:graphicFrame macro="">
      <xdr:nvGraphicFramePr>
        <xdr:cNvPr id="9" name="Chart 8">
          <a:extLst>
            <a:ext uri="{FF2B5EF4-FFF2-40B4-BE49-F238E27FC236}">
              <a16:creationId xmlns:a16="http://schemas.microsoft.com/office/drawing/2014/main" id="{C35F9014-F729-2BE6-21CE-4A08375F0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26</xdr:col>
      <xdr:colOff>514350</xdr:colOff>
      <xdr:row>41</xdr:row>
      <xdr:rowOff>14287</xdr:rowOff>
    </xdr:from>
    <xdr:to>
      <xdr:col>34</xdr:col>
      <xdr:colOff>209550</xdr:colOff>
      <xdr:row>55</xdr:row>
      <xdr:rowOff>90487</xdr:rowOff>
    </xdr:to>
    <xdr:graphicFrame macro="">
      <xdr:nvGraphicFramePr>
        <xdr:cNvPr id="10" name="Chart 9">
          <a:extLst>
            <a:ext uri="{FF2B5EF4-FFF2-40B4-BE49-F238E27FC236}">
              <a16:creationId xmlns:a16="http://schemas.microsoft.com/office/drawing/2014/main" id="{9087F76D-B5AD-D35E-219E-28C1151399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29</xdr:col>
      <xdr:colOff>466725</xdr:colOff>
      <xdr:row>17</xdr:row>
      <xdr:rowOff>33337</xdr:rowOff>
    </xdr:from>
    <xdr:to>
      <xdr:col>37</xdr:col>
      <xdr:colOff>161925</xdr:colOff>
      <xdr:row>31</xdr:row>
      <xdr:rowOff>109537</xdr:rowOff>
    </xdr:to>
    <xdr:graphicFrame macro="">
      <xdr:nvGraphicFramePr>
        <xdr:cNvPr id="11" name="Chart 10">
          <a:extLst>
            <a:ext uri="{FF2B5EF4-FFF2-40B4-BE49-F238E27FC236}">
              <a16:creationId xmlns:a16="http://schemas.microsoft.com/office/drawing/2014/main" id="{3A682281-2247-7F01-91F9-D0272EE61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16</xdr:col>
      <xdr:colOff>485775</xdr:colOff>
      <xdr:row>63</xdr:row>
      <xdr:rowOff>90487</xdr:rowOff>
    </xdr:from>
    <xdr:to>
      <xdr:col>23</xdr:col>
      <xdr:colOff>28575</xdr:colOff>
      <xdr:row>77</xdr:row>
      <xdr:rowOff>166687</xdr:rowOff>
    </xdr:to>
    <xdr:graphicFrame macro="">
      <xdr:nvGraphicFramePr>
        <xdr:cNvPr id="12" name="Chart 11">
          <a:extLst>
            <a:ext uri="{FF2B5EF4-FFF2-40B4-BE49-F238E27FC236}">
              <a16:creationId xmlns:a16="http://schemas.microsoft.com/office/drawing/2014/main" id="{88E042FC-4E0A-151A-4D68-7B6B9A007D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27</xdr:col>
      <xdr:colOff>171450</xdr:colOff>
      <xdr:row>61</xdr:row>
      <xdr:rowOff>71437</xdr:rowOff>
    </xdr:from>
    <xdr:to>
      <xdr:col>34</xdr:col>
      <xdr:colOff>266700</xdr:colOff>
      <xdr:row>75</xdr:row>
      <xdr:rowOff>147637</xdr:rowOff>
    </xdr:to>
    <xdr:graphicFrame macro="">
      <xdr:nvGraphicFramePr>
        <xdr:cNvPr id="13" name="Chart 12">
          <a:extLst>
            <a:ext uri="{FF2B5EF4-FFF2-40B4-BE49-F238E27FC236}">
              <a16:creationId xmlns:a16="http://schemas.microsoft.com/office/drawing/2014/main" id="{4C809C59-7C26-5FE3-1298-0ADA7FABC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xdr:col>
      <xdr:colOff>694511</xdr:colOff>
      <xdr:row>74</xdr:row>
      <xdr:rowOff>104611</xdr:rowOff>
    </xdr:from>
    <xdr:to>
      <xdr:col>6</xdr:col>
      <xdr:colOff>466562</xdr:colOff>
      <xdr:row>82</xdr:row>
      <xdr:rowOff>104612</xdr:rowOff>
    </xdr:to>
    <mc:AlternateContent xmlns:mc="http://schemas.openxmlformats.org/markup-compatibility/2006" xmlns:a14="http://schemas.microsoft.com/office/drawing/2010/main">
      <mc:Choice Requires="a14">
        <xdr:graphicFrame macro="">
          <xdr:nvGraphicFramePr>
            <xdr:cNvPr id="18" name="Location">
              <a:extLst>
                <a:ext uri="{FF2B5EF4-FFF2-40B4-BE49-F238E27FC236}">
                  <a16:creationId xmlns:a16="http://schemas.microsoft.com/office/drawing/2014/main" id="{D620A728-B85E-8217-DE25-801642A872E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3674126" y="13960637"/>
              <a:ext cx="1831731" cy="1497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161925</xdr:colOff>
      <xdr:row>87</xdr:row>
      <xdr:rowOff>0</xdr:rowOff>
    </xdr:from>
    <xdr:to>
      <xdr:col>5</xdr:col>
      <xdr:colOff>333049</xdr:colOff>
      <xdr:row>94</xdr:row>
      <xdr:rowOff>38100</xdr:rowOff>
    </xdr:to>
    <mc:AlternateContent xmlns:mc="http://schemas.openxmlformats.org/markup-compatibility/2006" xmlns:tsle="http://schemas.microsoft.com/office/drawing/2012/timeslicer">
      <mc:Choice Requires="tsle">
        <xdr:graphicFrame macro="">
          <xdr:nvGraphicFramePr>
            <xdr:cNvPr id="20" name="Date Applied">
              <a:extLst>
                <a:ext uri="{FF2B5EF4-FFF2-40B4-BE49-F238E27FC236}">
                  <a16:creationId xmlns:a16="http://schemas.microsoft.com/office/drawing/2014/main" id="{73A41C4C-2D5A-7B3A-6986-29B9602725E4}"/>
                </a:ext>
              </a:extLst>
            </xdr:cNvPr>
            <xdr:cNvGraphicFramePr/>
          </xdr:nvGraphicFramePr>
          <xdr:xfrm>
            <a:off x="0" y="0"/>
            <a:ext cx="0" cy="0"/>
          </xdr:xfrm>
          <a:graphic>
            <a:graphicData uri="http://schemas.microsoft.com/office/drawing/2012/timeslicer">
              <tsle:timeslicer name="Date Applied"/>
            </a:graphicData>
          </a:graphic>
        </xdr:graphicFrame>
      </mc:Choice>
      <mc:Fallback xmlns="">
        <xdr:sp macro="" textlink="">
          <xdr:nvSpPr>
            <xdr:cNvPr id="0" name=""/>
            <xdr:cNvSpPr>
              <a:spLocks noTextEdit="1"/>
            </xdr:cNvSpPr>
          </xdr:nvSpPr>
          <xdr:spPr>
            <a:xfrm>
              <a:off x="1106284" y="16290192"/>
              <a:ext cx="3329842" cy="13488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163389</xdr:colOff>
      <xdr:row>74</xdr:row>
      <xdr:rowOff>6596</xdr:rowOff>
    </xdr:from>
    <xdr:to>
      <xdr:col>3</xdr:col>
      <xdr:colOff>341923</xdr:colOff>
      <xdr:row>86</xdr:row>
      <xdr:rowOff>113975</xdr:rowOff>
    </xdr:to>
    <mc:AlternateContent xmlns:mc="http://schemas.openxmlformats.org/markup-compatibility/2006" xmlns:a14="http://schemas.microsoft.com/office/drawing/2010/main">
      <mc:Choice Requires="a14">
        <xdr:graphicFrame macro="">
          <xdr:nvGraphicFramePr>
            <xdr:cNvPr id="17" name="Company 1">
              <a:extLst>
                <a:ext uri="{FF2B5EF4-FFF2-40B4-BE49-F238E27FC236}">
                  <a16:creationId xmlns:a16="http://schemas.microsoft.com/office/drawing/2014/main" id="{54851CF6-FD84-38F3-46A5-CCF41E86E8FB}"/>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163389" y="13862622"/>
              <a:ext cx="2767380" cy="23543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42821</xdr:colOff>
      <xdr:row>11</xdr:row>
      <xdr:rowOff>57069</xdr:rowOff>
    </xdr:from>
    <xdr:to>
      <xdr:col>12</xdr:col>
      <xdr:colOff>992390</xdr:colOff>
      <xdr:row>18</xdr:row>
      <xdr:rowOff>0</xdr:rowOff>
    </xdr:to>
    <mc:AlternateContent xmlns:mc="http://schemas.openxmlformats.org/markup-compatibility/2006" xmlns:a14="http://schemas.microsoft.com/office/drawing/2010/main">
      <mc:Choice Requires="a14">
        <xdr:graphicFrame macro="">
          <xdr:nvGraphicFramePr>
            <xdr:cNvPr id="14" name="Application Source 1">
              <a:extLst>
                <a:ext uri="{FF2B5EF4-FFF2-40B4-BE49-F238E27FC236}">
                  <a16:creationId xmlns:a16="http://schemas.microsoft.com/office/drawing/2014/main" id="{A775E55C-C2A4-FB73-19D2-E604FBA00F95}"/>
                </a:ext>
              </a:extLst>
            </xdr:cNvPr>
            <xdr:cNvGraphicFramePr/>
          </xdr:nvGraphicFramePr>
          <xdr:xfrm>
            <a:off x="0" y="0"/>
            <a:ext cx="0" cy="0"/>
          </xdr:xfrm>
          <a:graphic>
            <a:graphicData uri="http://schemas.microsoft.com/office/drawing/2010/slicer">
              <sle:slicer xmlns:sle="http://schemas.microsoft.com/office/drawing/2010/slicer" name="Application Source 1"/>
            </a:graphicData>
          </a:graphic>
        </xdr:graphicFrame>
      </mc:Choice>
      <mc:Fallback xmlns="">
        <xdr:sp macro="" textlink="">
          <xdr:nvSpPr>
            <xdr:cNvPr id="0" name=""/>
            <xdr:cNvSpPr>
              <a:spLocks noTextEdit="1"/>
            </xdr:cNvSpPr>
          </xdr:nvSpPr>
          <xdr:spPr>
            <a:xfrm>
              <a:off x="8135000" y="2116748"/>
              <a:ext cx="1828800" cy="12536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239753</xdr:colOff>
      <xdr:row>36</xdr:row>
      <xdr:rowOff>171043</xdr:rowOff>
    </xdr:from>
    <xdr:to>
      <xdr:col>21</xdr:col>
      <xdr:colOff>236823</xdr:colOff>
      <xdr:row>45</xdr:row>
      <xdr:rowOff>40706</xdr:rowOff>
    </xdr:to>
    <mc:AlternateContent xmlns:mc="http://schemas.openxmlformats.org/markup-compatibility/2006" xmlns:a14="http://schemas.microsoft.com/office/drawing/2010/main">
      <mc:Choice Requires="a14">
        <xdr:graphicFrame macro="">
          <xdr:nvGraphicFramePr>
            <xdr:cNvPr id="15" name="Status 1">
              <a:extLst>
                <a:ext uri="{FF2B5EF4-FFF2-40B4-BE49-F238E27FC236}">
                  <a16:creationId xmlns:a16="http://schemas.microsoft.com/office/drawing/2014/main" id="{1A62B5BB-7D08-F2C8-273C-4140D7871037}"/>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mlns="">
        <xdr:sp macro="" textlink="">
          <xdr:nvSpPr>
            <xdr:cNvPr id="0" name=""/>
            <xdr:cNvSpPr>
              <a:spLocks noTextEdit="1"/>
            </xdr:cNvSpPr>
          </xdr:nvSpPr>
          <xdr:spPr>
            <a:xfrm>
              <a:off x="13623599" y="6911812"/>
              <a:ext cx="1828800" cy="15548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547565</xdr:colOff>
      <xdr:row>67</xdr:row>
      <xdr:rowOff>99401</xdr:rowOff>
    </xdr:from>
    <xdr:to>
      <xdr:col>9</xdr:col>
      <xdr:colOff>544635</xdr:colOff>
      <xdr:row>74</xdr:row>
      <xdr:rowOff>154679</xdr:rowOff>
    </xdr:to>
    <mc:AlternateContent xmlns:mc="http://schemas.openxmlformats.org/markup-compatibility/2006" xmlns:a14="http://schemas.microsoft.com/office/drawing/2010/main">
      <mc:Choice Requires="a14">
        <xdr:graphicFrame macro="">
          <xdr:nvGraphicFramePr>
            <xdr:cNvPr id="23" name="Experience">
              <a:extLst>
                <a:ext uri="{FF2B5EF4-FFF2-40B4-BE49-F238E27FC236}">
                  <a16:creationId xmlns:a16="http://schemas.microsoft.com/office/drawing/2014/main" id="{C248E7F4-6D4C-9FE4-2B43-3071191D2695}"/>
                </a:ext>
              </a:extLst>
            </xdr:cNvPr>
            <xdr:cNvGraphicFramePr/>
          </xdr:nvGraphicFramePr>
          <xdr:xfrm>
            <a:off x="0" y="0"/>
            <a:ext cx="0" cy="0"/>
          </xdr:xfrm>
          <a:graphic>
            <a:graphicData uri="http://schemas.microsoft.com/office/drawing/2010/slicer">
              <sle:slicer xmlns:sle="http://schemas.microsoft.com/office/drawing/2010/slicer" name="Experience"/>
            </a:graphicData>
          </a:graphic>
        </xdr:graphicFrame>
      </mc:Choice>
      <mc:Fallback xmlns="">
        <xdr:sp macro="" textlink="">
          <xdr:nvSpPr>
            <xdr:cNvPr id="0" name=""/>
            <xdr:cNvSpPr>
              <a:spLocks noTextEdit="1"/>
            </xdr:cNvSpPr>
          </xdr:nvSpPr>
          <xdr:spPr>
            <a:xfrm>
              <a:off x="5586860" y="12644722"/>
              <a:ext cx="1828800" cy="13659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506861</xdr:colOff>
      <xdr:row>31</xdr:row>
      <xdr:rowOff>177557</xdr:rowOff>
    </xdr:from>
    <xdr:to>
      <xdr:col>2</xdr:col>
      <xdr:colOff>601623</xdr:colOff>
      <xdr:row>39</xdr:row>
      <xdr:rowOff>154680</xdr:rowOff>
    </xdr:to>
    <mc:AlternateContent xmlns:mc="http://schemas.openxmlformats.org/markup-compatibility/2006" xmlns:a14="http://schemas.microsoft.com/office/drawing/2010/main">
      <mc:Choice Requires="a14">
        <xdr:graphicFrame macro="">
          <xdr:nvGraphicFramePr>
            <xdr:cNvPr id="26" name="Role">
              <a:extLst>
                <a:ext uri="{FF2B5EF4-FFF2-40B4-BE49-F238E27FC236}">
                  <a16:creationId xmlns:a16="http://schemas.microsoft.com/office/drawing/2014/main" id="{EEA7C9E6-369A-7E97-BA56-783064468829}"/>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506861" y="5982108"/>
              <a:ext cx="1828800" cy="14750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83039</xdr:colOff>
      <xdr:row>83</xdr:row>
      <xdr:rowOff>175195</xdr:rowOff>
    </xdr:from>
    <xdr:to>
      <xdr:col>22</xdr:col>
      <xdr:colOff>535680</xdr:colOff>
      <xdr:row>98</xdr:row>
      <xdr:rowOff>109741</xdr:rowOff>
    </xdr:to>
    <xdr:graphicFrame macro="">
      <xdr:nvGraphicFramePr>
        <xdr:cNvPr id="16" name="Chart 15">
          <a:extLst>
            <a:ext uri="{FF2B5EF4-FFF2-40B4-BE49-F238E27FC236}">
              <a16:creationId xmlns:a16="http://schemas.microsoft.com/office/drawing/2014/main" id="{67D3C2DF-6533-6BEA-9B87-0E8C115E0A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441244</xdr:colOff>
      <xdr:row>78</xdr:row>
      <xdr:rowOff>53080</xdr:rowOff>
    </xdr:from>
    <xdr:to>
      <xdr:col>31</xdr:col>
      <xdr:colOff>389141</xdr:colOff>
      <xdr:row>92</xdr:row>
      <xdr:rowOff>174870</xdr:rowOff>
    </xdr:to>
    <xdr:graphicFrame macro="">
      <xdr:nvGraphicFramePr>
        <xdr:cNvPr id="19" name="Chart 18">
          <a:extLst>
            <a:ext uri="{FF2B5EF4-FFF2-40B4-BE49-F238E27FC236}">
              <a16:creationId xmlns:a16="http://schemas.microsoft.com/office/drawing/2014/main" id="{F2369EE5-5B59-D865-AE54-42439F1A62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91180</xdr:colOff>
      <xdr:row>100</xdr:row>
      <xdr:rowOff>175194</xdr:rowOff>
    </xdr:from>
    <xdr:to>
      <xdr:col>22</xdr:col>
      <xdr:colOff>258886</xdr:colOff>
      <xdr:row>115</xdr:row>
      <xdr:rowOff>109740</xdr:rowOff>
    </xdr:to>
    <xdr:graphicFrame macro="">
      <xdr:nvGraphicFramePr>
        <xdr:cNvPr id="21" name="Chart 20">
          <a:extLst>
            <a:ext uri="{FF2B5EF4-FFF2-40B4-BE49-F238E27FC236}">
              <a16:creationId xmlns:a16="http://schemas.microsoft.com/office/drawing/2014/main" id="{0D5E0564-1A3E-D89F-6C8C-410E7A5F9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26</xdr:col>
      <xdr:colOff>840154</xdr:colOff>
      <xdr:row>93</xdr:row>
      <xdr:rowOff>44938</xdr:rowOff>
    </xdr:from>
    <xdr:to>
      <xdr:col>32</xdr:col>
      <xdr:colOff>405424</xdr:colOff>
      <xdr:row>107</xdr:row>
      <xdr:rowOff>166728</xdr:rowOff>
    </xdr:to>
    <xdr:graphicFrame macro="">
      <xdr:nvGraphicFramePr>
        <xdr:cNvPr id="22" name="Chart 21">
          <a:extLst>
            <a:ext uri="{FF2B5EF4-FFF2-40B4-BE49-F238E27FC236}">
              <a16:creationId xmlns:a16="http://schemas.microsoft.com/office/drawing/2014/main" id="{9507F88E-6BA6-E5F6-E93D-267D6F06B6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6</xdr:col>
      <xdr:colOff>560918</xdr:colOff>
      <xdr:row>83</xdr:row>
      <xdr:rowOff>27759</xdr:rowOff>
    </xdr:from>
    <xdr:to>
      <xdr:col>9</xdr:col>
      <xdr:colOff>557988</xdr:colOff>
      <xdr:row>96</xdr:row>
      <xdr:rowOff>117717</xdr:rowOff>
    </xdr:to>
    <mc:AlternateContent xmlns:mc="http://schemas.openxmlformats.org/markup-compatibility/2006" xmlns:a14="http://schemas.microsoft.com/office/drawing/2010/main">
      <mc:Choice Requires="a14">
        <xdr:graphicFrame macro="">
          <xdr:nvGraphicFramePr>
            <xdr:cNvPr id="24" name="Company">
              <a:extLst>
                <a:ext uri="{FF2B5EF4-FFF2-40B4-BE49-F238E27FC236}">
                  <a16:creationId xmlns:a16="http://schemas.microsoft.com/office/drawing/2014/main" id="{88B0AB81-639B-C9D9-64D1-38D30D3262D1}"/>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5209444" y="1556897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351693</xdr:colOff>
      <xdr:row>96</xdr:row>
      <xdr:rowOff>150771</xdr:rowOff>
    </xdr:from>
    <xdr:to>
      <xdr:col>9</xdr:col>
      <xdr:colOff>177475</xdr:colOff>
      <xdr:row>111</xdr:row>
      <xdr:rowOff>85318</xdr:rowOff>
    </xdr:to>
    <xdr:graphicFrame macro="">
      <xdr:nvGraphicFramePr>
        <xdr:cNvPr id="25" name="Chart 24">
          <a:extLst>
            <a:ext uri="{FF2B5EF4-FFF2-40B4-BE49-F238E27FC236}">
              <a16:creationId xmlns:a16="http://schemas.microsoft.com/office/drawing/2014/main" id="{96822E06-64E1-C5E2-2A3C-D2A59ECC6B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579641</xdr:colOff>
      <xdr:row>114</xdr:row>
      <xdr:rowOff>167054</xdr:rowOff>
    </xdr:from>
    <xdr:to>
      <xdr:col>8</xdr:col>
      <xdr:colOff>161193</xdr:colOff>
      <xdr:row>129</xdr:row>
      <xdr:rowOff>101600</xdr:rowOff>
    </xdr:to>
    <xdr:graphicFrame macro="">
      <xdr:nvGraphicFramePr>
        <xdr:cNvPr id="27" name="Chart 26">
          <a:extLst>
            <a:ext uri="{FF2B5EF4-FFF2-40B4-BE49-F238E27FC236}">
              <a16:creationId xmlns:a16="http://schemas.microsoft.com/office/drawing/2014/main" id="{C3BF548D-69BA-9CA3-1302-F1C2A132B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rath Kumar" refreshedDate="46115.792552083331" createdVersion="8" refreshedVersion="8" minRefreshableVersion="3" recordCount="100" xr:uid="{D2A8DD3B-E539-4238-8C39-83FE052A2D72}">
  <cacheSource type="worksheet">
    <worksheetSource name="Table1"/>
  </cacheSource>
  <cacheFields count="17">
    <cacheField name="Company" numFmtId="0">
      <sharedItems count="19">
        <s v="HCL"/>
        <s v="TCS"/>
        <s v="Google"/>
        <s v="Capgemini"/>
        <s v="Zoho"/>
        <s v="Paytm"/>
        <s v="Accenture"/>
        <s v="Zomato"/>
        <s v="Swiggy"/>
        <s v="Microsoft"/>
        <s v="Deloitte"/>
        <s v="Flipkart"/>
        <s v="Infosys"/>
        <s v="Wipro"/>
        <s v="Oracle"/>
        <s v="IBM"/>
        <s v="Amazon"/>
        <s v="Tech Mahindra"/>
        <s v="Cognizant"/>
      </sharedItems>
      <fieldGroup par="16"/>
    </cacheField>
    <cacheField name="Role" numFmtId="0">
      <sharedItems count="8">
        <s v="Analyst"/>
        <s v="Manager"/>
        <s v="SDE"/>
        <s v="Tester"/>
        <s v="Engineer"/>
        <s v="Developer"/>
        <s v="Operations"/>
        <s v="Consultant"/>
      </sharedItems>
    </cacheField>
    <cacheField name="Status" numFmtId="0">
      <sharedItems count="4">
        <s v="Rejected"/>
        <s v="Offer"/>
        <s v="Interview"/>
        <s v="Applied"/>
      </sharedItems>
    </cacheField>
    <cacheField name="Date Applied" numFmtId="164">
      <sharedItems containsSemiMixedTypes="0" containsNonDate="0" containsDate="1" containsString="0" minDate="2025-01-01T00:00:00" maxDate="2025-05-30T00:00:00" count="73">
        <d v="2025-04-17T00:00:00"/>
        <d v="2025-04-03T00:00:00"/>
        <d v="2025-02-22T00:00:00"/>
        <d v="2025-03-29T00:00:00"/>
        <d v="2025-04-09T00:00:00"/>
        <d v="2025-01-11T00:00:00"/>
        <d v="2025-03-17T00:00:00"/>
        <d v="2025-05-26T00:00:00"/>
        <d v="2025-02-09T00:00:00"/>
        <d v="2025-02-24T00:00:00"/>
        <d v="2025-05-18T00:00:00"/>
        <d v="2025-01-29T00:00:00"/>
        <d v="2025-02-02T00:00:00"/>
        <d v="2025-05-25T00:00:00"/>
        <d v="2025-04-14T00:00:00"/>
        <d v="2025-04-02T00:00:00"/>
        <d v="2025-05-20T00:00:00"/>
        <d v="2025-04-22T00:00:00"/>
        <d v="2025-04-06T00:00:00"/>
        <d v="2025-01-21T00:00:00"/>
        <d v="2025-04-29T00:00:00"/>
        <d v="2025-04-26T00:00:00"/>
        <d v="2025-04-15T00:00:00"/>
        <d v="2025-02-11T00:00:00"/>
        <d v="2025-04-11T00:00:00"/>
        <d v="2025-03-14T00:00:00"/>
        <d v="2025-04-08T00:00:00"/>
        <d v="2025-04-24T00:00:00"/>
        <d v="2025-05-07T00:00:00"/>
        <d v="2025-05-21T00:00:00"/>
        <d v="2025-05-13T00:00:00"/>
        <d v="2025-05-19T00:00:00"/>
        <d v="2025-03-19T00:00:00"/>
        <d v="2025-03-23T00:00:00"/>
        <d v="2025-05-05T00:00:00"/>
        <d v="2025-01-12T00:00:00"/>
        <d v="2025-01-27T00:00:00"/>
        <d v="2025-01-30T00:00:00"/>
        <d v="2025-05-09T00:00:00"/>
        <d v="2025-02-08T00:00:00"/>
        <d v="2025-03-12T00:00:00"/>
        <d v="2025-05-10T00:00:00"/>
        <d v="2025-01-01T00:00:00"/>
        <d v="2025-02-18T00:00:00"/>
        <d v="2025-01-02T00:00:00"/>
        <d v="2025-03-30T00:00:00"/>
        <d v="2025-01-05T00:00:00"/>
        <d v="2025-02-28T00:00:00"/>
        <d v="2025-03-27T00:00:00"/>
        <d v="2025-05-08T00:00:00"/>
        <d v="2025-05-06T00:00:00"/>
        <d v="2025-01-31T00:00:00"/>
        <d v="2025-03-24T00:00:00"/>
        <d v="2025-05-03T00:00:00"/>
        <d v="2025-01-10T00:00:00"/>
        <d v="2025-04-21T00:00:00"/>
        <d v="2025-01-18T00:00:00"/>
        <d v="2025-05-15T00:00:00"/>
        <d v="2025-01-06T00:00:00"/>
        <d v="2025-03-11T00:00:00"/>
        <d v="2025-03-13T00:00:00"/>
        <d v="2025-02-15T00:00:00"/>
        <d v="2025-03-09T00:00:00"/>
        <d v="2025-02-26T00:00:00"/>
        <d v="2025-04-12T00:00:00"/>
        <d v="2025-05-29T00:00:00"/>
        <d v="2025-03-22T00:00:00"/>
        <d v="2025-03-02T00:00:00"/>
        <d v="2025-02-17T00:00:00"/>
        <d v="2025-01-04T00:00:00"/>
        <d v="2025-05-02T00:00:00"/>
        <d v="2025-02-13T00:00:00"/>
        <d v="2025-01-19T00:00:00"/>
      </sharedItems>
    </cacheField>
    <cacheField name="Location" numFmtId="0">
      <sharedItems count="7">
        <s v="Bangalore"/>
        <s v="Mysore"/>
        <s v="Chennai"/>
        <s v="Noida"/>
        <s v="Mumbai"/>
        <s v="Pune"/>
        <s v="Hyderabad"/>
      </sharedItems>
    </cacheField>
    <cacheField name="Salary" numFmtId="0">
      <sharedItems containsSemiMixedTypes="0" containsString="0" containsNumber="1" containsInteger="1" minValue="358017" maxValue="2746588"/>
    </cacheField>
    <cacheField name="Experience" numFmtId="0">
      <sharedItems containsSemiMixedTypes="0" containsString="0" containsNumber="1" containsInteger="1" minValue="1" maxValue="6" count="6">
        <n v="4"/>
        <n v="1"/>
        <n v="6"/>
        <n v="3"/>
        <n v="2"/>
        <n v="5"/>
      </sharedItems>
    </cacheField>
    <cacheField name="Education" numFmtId="0">
      <sharedItems count="4">
        <s v="B.Tech"/>
        <s v="MBA"/>
        <s v="BBA"/>
        <s v="B.Sc"/>
      </sharedItems>
    </cacheField>
    <cacheField name="Skills" numFmtId="0">
      <sharedItems count="8">
        <s v="Finance;Excel"/>
        <s v="Java;SQL"/>
        <s v="Cloud;AWS"/>
        <s v="Testing;Selenium"/>
        <s v="Python;AI"/>
        <s v="Excel;SQL"/>
        <s v="Operations"/>
        <s v="JavaScript"/>
      </sharedItems>
    </cacheField>
    <cacheField name="Interview Score" numFmtId="0">
      <sharedItems containsSemiMixedTypes="0" containsString="0" containsNumber="1" containsInteger="1" minValue="55" maxValue="95"/>
    </cacheField>
    <cacheField name="Offer Accepted" numFmtId="0">
      <sharedItems count="2">
        <s v="No"/>
        <s v="Yes"/>
      </sharedItems>
    </cacheField>
    <cacheField name="Notice Period" numFmtId="0">
      <sharedItems containsSemiMixedTypes="0" containsString="0" containsNumber="1" containsInteger="1" minValue="30" maxValue="90"/>
    </cacheField>
    <cacheField name="Current CTC" numFmtId="0">
      <sharedItems containsSemiMixedTypes="0" containsString="0" containsNumber="1" containsInteger="1" minValue="219373" maxValue="2618685"/>
    </cacheField>
    <cacheField name="Expected CTC" numFmtId="0">
      <sharedItems containsSemiMixedTypes="0" containsString="0" containsNumber="1" containsInteger="1" minValue="459695" maxValue="2887576"/>
    </cacheField>
    <cacheField name="Recruiter Name" numFmtId="0">
      <sharedItems/>
    </cacheField>
    <cacheField name="Application Source" numFmtId="0">
      <sharedItems count="3">
        <s v="Naukri"/>
        <s v="LinkedIn"/>
        <s v="Referral"/>
      </sharedItems>
    </cacheField>
    <cacheField name="Company2" numFmtId="0" databaseField="0">
      <fieldGroup base="0">
        <discretePr count="19">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8889408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n v="2702187"/>
    <x v="0"/>
    <x v="0"/>
    <x v="0"/>
    <n v="79"/>
    <x v="0"/>
    <n v="90"/>
    <n v="2516734"/>
    <n v="2846030"/>
    <s v="Karthik"/>
    <x v="0"/>
  </r>
  <r>
    <x v="1"/>
    <x v="1"/>
    <x v="1"/>
    <x v="1"/>
    <x v="1"/>
    <n v="2536732"/>
    <x v="0"/>
    <x v="0"/>
    <x v="1"/>
    <n v="78"/>
    <x v="1"/>
    <n v="60"/>
    <n v="2450875"/>
    <n v="2661729"/>
    <s v="Neha"/>
    <x v="1"/>
  </r>
  <r>
    <x v="2"/>
    <x v="2"/>
    <x v="2"/>
    <x v="2"/>
    <x v="2"/>
    <n v="1371941"/>
    <x v="1"/>
    <x v="1"/>
    <x v="2"/>
    <n v="65"/>
    <x v="0"/>
    <n v="30"/>
    <n v="1230369"/>
    <n v="1555876"/>
    <s v="Vikram"/>
    <x v="0"/>
  </r>
  <r>
    <x v="0"/>
    <x v="3"/>
    <x v="0"/>
    <x v="3"/>
    <x v="1"/>
    <n v="2655548"/>
    <x v="2"/>
    <x v="2"/>
    <x v="3"/>
    <n v="74"/>
    <x v="0"/>
    <n v="60"/>
    <n v="2603471"/>
    <n v="2842097"/>
    <s v="Simran"/>
    <x v="2"/>
  </r>
  <r>
    <x v="3"/>
    <x v="2"/>
    <x v="2"/>
    <x v="4"/>
    <x v="2"/>
    <n v="1826747"/>
    <x v="3"/>
    <x v="0"/>
    <x v="4"/>
    <n v="59"/>
    <x v="0"/>
    <n v="90"/>
    <n v="1733053"/>
    <n v="2112592"/>
    <s v="Nisha"/>
    <x v="0"/>
  </r>
  <r>
    <x v="4"/>
    <x v="1"/>
    <x v="3"/>
    <x v="5"/>
    <x v="3"/>
    <n v="2325432"/>
    <x v="3"/>
    <x v="0"/>
    <x v="1"/>
    <n v="70"/>
    <x v="0"/>
    <n v="90"/>
    <n v="2141898"/>
    <n v="2409879"/>
    <s v="Deepak"/>
    <x v="2"/>
  </r>
  <r>
    <x v="5"/>
    <x v="4"/>
    <x v="0"/>
    <x v="6"/>
    <x v="4"/>
    <n v="1930451"/>
    <x v="3"/>
    <x v="2"/>
    <x v="3"/>
    <n v="86"/>
    <x v="0"/>
    <n v="45"/>
    <n v="1792825"/>
    <n v="2014068"/>
    <s v="Arjun"/>
    <x v="1"/>
  </r>
  <r>
    <x v="6"/>
    <x v="2"/>
    <x v="3"/>
    <x v="7"/>
    <x v="5"/>
    <n v="1095802"/>
    <x v="4"/>
    <x v="1"/>
    <x v="5"/>
    <n v="85"/>
    <x v="0"/>
    <n v="45"/>
    <n v="907984"/>
    <n v="1151385"/>
    <s v="Vikram"/>
    <x v="2"/>
  </r>
  <r>
    <x v="7"/>
    <x v="0"/>
    <x v="0"/>
    <x v="8"/>
    <x v="1"/>
    <n v="2517727"/>
    <x v="5"/>
    <x v="1"/>
    <x v="1"/>
    <n v="92"/>
    <x v="0"/>
    <n v="60"/>
    <n v="2322557"/>
    <n v="2579129"/>
    <s v="Arjun"/>
    <x v="2"/>
  </r>
  <r>
    <x v="1"/>
    <x v="0"/>
    <x v="1"/>
    <x v="9"/>
    <x v="2"/>
    <n v="2021942"/>
    <x v="3"/>
    <x v="2"/>
    <x v="6"/>
    <n v="57"/>
    <x v="1"/>
    <n v="45"/>
    <n v="1864648"/>
    <n v="2219713"/>
    <s v="Meena"/>
    <x v="2"/>
  </r>
  <r>
    <x v="1"/>
    <x v="5"/>
    <x v="1"/>
    <x v="10"/>
    <x v="1"/>
    <n v="2458766"/>
    <x v="1"/>
    <x v="3"/>
    <x v="5"/>
    <n v="64"/>
    <x v="1"/>
    <n v="30"/>
    <n v="2401858"/>
    <n v="2611760"/>
    <s v="Arjun"/>
    <x v="1"/>
  </r>
  <r>
    <x v="8"/>
    <x v="6"/>
    <x v="2"/>
    <x v="11"/>
    <x v="1"/>
    <n v="2101197"/>
    <x v="3"/>
    <x v="3"/>
    <x v="5"/>
    <n v="60"/>
    <x v="0"/>
    <n v="60"/>
    <n v="1924193"/>
    <n v="2169529"/>
    <s v="Pooja"/>
    <x v="0"/>
  </r>
  <r>
    <x v="9"/>
    <x v="0"/>
    <x v="0"/>
    <x v="12"/>
    <x v="0"/>
    <n v="2659376"/>
    <x v="2"/>
    <x v="3"/>
    <x v="0"/>
    <n v="88"/>
    <x v="0"/>
    <n v="45"/>
    <n v="2532129"/>
    <n v="2859864"/>
    <s v="Vikram"/>
    <x v="1"/>
  </r>
  <r>
    <x v="10"/>
    <x v="7"/>
    <x v="1"/>
    <x v="13"/>
    <x v="1"/>
    <n v="1318122"/>
    <x v="4"/>
    <x v="2"/>
    <x v="6"/>
    <n v="59"/>
    <x v="1"/>
    <n v="45"/>
    <n v="1252681"/>
    <n v="1509607"/>
    <s v="Karthik"/>
    <x v="2"/>
  </r>
  <r>
    <x v="4"/>
    <x v="3"/>
    <x v="3"/>
    <x v="14"/>
    <x v="1"/>
    <n v="2267089"/>
    <x v="4"/>
    <x v="3"/>
    <x v="3"/>
    <n v="90"/>
    <x v="0"/>
    <n v="90"/>
    <n v="2214590"/>
    <n v="2361025"/>
    <s v="Sneha"/>
    <x v="1"/>
  </r>
  <r>
    <x v="11"/>
    <x v="7"/>
    <x v="0"/>
    <x v="15"/>
    <x v="0"/>
    <n v="525129"/>
    <x v="4"/>
    <x v="3"/>
    <x v="7"/>
    <n v="79"/>
    <x v="0"/>
    <n v="45"/>
    <n v="362382"/>
    <n v="694550"/>
    <s v="Kiran"/>
    <x v="1"/>
  </r>
  <r>
    <x v="3"/>
    <x v="0"/>
    <x v="1"/>
    <x v="16"/>
    <x v="0"/>
    <n v="2382440"/>
    <x v="4"/>
    <x v="2"/>
    <x v="4"/>
    <n v="55"/>
    <x v="1"/>
    <n v="30"/>
    <n v="2243733"/>
    <n v="2459127"/>
    <s v="Arjun"/>
    <x v="0"/>
  </r>
  <r>
    <x v="6"/>
    <x v="6"/>
    <x v="0"/>
    <x v="17"/>
    <x v="6"/>
    <n v="2255039"/>
    <x v="1"/>
    <x v="1"/>
    <x v="1"/>
    <n v="92"/>
    <x v="0"/>
    <n v="90"/>
    <n v="2099694"/>
    <n v="2550455"/>
    <s v="Deepak"/>
    <x v="0"/>
  </r>
  <r>
    <x v="2"/>
    <x v="2"/>
    <x v="3"/>
    <x v="18"/>
    <x v="6"/>
    <n v="910737"/>
    <x v="4"/>
    <x v="3"/>
    <x v="7"/>
    <n v="76"/>
    <x v="0"/>
    <n v="90"/>
    <n v="855723"/>
    <n v="1114675"/>
    <s v="Simran"/>
    <x v="0"/>
  </r>
  <r>
    <x v="12"/>
    <x v="6"/>
    <x v="1"/>
    <x v="19"/>
    <x v="5"/>
    <n v="2469596"/>
    <x v="2"/>
    <x v="1"/>
    <x v="0"/>
    <n v="76"/>
    <x v="1"/>
    <n v="90"/>
    <n v="2413749"/>
    <n v="2656642"/>
    <s v="Meena"/>
    <x v="2"/>
  </r>
  <r>
    <x v="0"/>
    <x v="0"/>
    <x v="3"/>
    <x v="20"/>
    <x v="0"/>
    <n v="1458843"/>
    <x v="2"/>
    <x v="2"/>
    <x v="1"/>
    <n v="78"/>
    <x v="0"/>
    <n v="90"/>
    <n v="1269478"/>
    <n v="1563610"/>
    <s v="Pooja"/>
    <x v="0"/>
  </r>
  <r>
    <x v="7"/>
    <x v="0"/>
    <x v="3"/>
    <x v="3"/>
    <x v="4"/>
    <n v="1767781"/>
    <x v="3"/>
    <x v="1"/>
    <x v="5"/>
    <n v="61"/>
    <x v="0"/>
    <n v="30"/>
    <n v="1617213"/>
    <n v="2007294"/>
    <s v="Rohit"/>
    <x v="0"/>
  </r>
  <r>
    <x v="7"/>
    <x v="2"/>
    <x v="0"/>
    <x v="21"/>
    <x v="3"/>
    <n v="1156505"/>
    <x v="5"/>
    <x v="0"/>
    <x v="6"/>
    <n v="73"/>
    <x v="0"/>
    <n v="45"/>
    <n v="990533"/>
    <n v="1212487"/>
    <s v="Simran"/>
    <x v="2"/>
  </r>
  <r>
    <x v="4"/>
    <x v="3"/>
    <x v="1"/>
    <x v="1"/>
    <x v="4"/>
    <n v="358017"/>
    <x v="0"/>
    <x v="1"/>
    <x v="5"/>
    <n v="56"/>
    <x v="1"/>
    <n v="45"/>
    <n v="276696"/>
    <n v="459695"/>
    <s v="Neha"/>
    <x v="1"/>
  </r>
  <r>
    <x v="2"/>
    <x v="5"/>
    <x v="0"/>
    <x v="22"/>
    <x v="1"/>
    <n v="2203855"/>
    <x v="2"/>
    <x v="3"/>
    <x v="4"/>
    <n v="85"/>
    <x v="0"/>
    <n v="90"/>
    <n v="2007513"/>
    <n v="2346530"/>
    <s v="Sonal"/>
    <x v="0"/>
  </r>
  <r>
    <x v="2"/>
    <x v="1"/>
    <x v="3"/>
    <x v="23"/>
    <x v="6"/>
    <n v="1560101"/>
    <x v="4"/>
    <x v="0"/>
    <x v="7"/>
    <n v="94"/>
    <x v="0"/>
    <n v="60"/>
    <n v="1434656"/>
    <n v="1847752"/>
    <s v="Vikram"/>
    <x v="2"/>
  </r>
  <r>
    <x v="7"/>
    <x v="4"/>
    <x v="2"/>
    <x v="24"/>
    <x v="3"/>
    <n v="1761608"/>
    <x v="0"/>
    <x v="3"/>
    <x v="2"/>
    <n v="88"/>
    <x v="0"/>
    <n v="30"/>
    <n v="1602272"/>
    <n v="1932908"/>
    <s v="Sneha"/>
    <x v="0"/>
  </r>
  <r>
    <x v="3"/>
    <x v="1"/>
    <x v="2"/>
    <x v="25"/>
    <x v="2"/>
    <n v="1240538"/>
    <x v="1"/>
    <x v="2"/>
    <x v="4"/>
    <n v="95"/>
    <x v="0"/>
    <n v="45"/>
    <n v="1095409"/>
    <n v="1344474"/>
    <s v="Arjun"/>
    <x v="2"/>
  </r>
  <r>
    <x v="1"/>
    <x v="6"/>
    <x v="3"/>
    <x v="24"/>
    <x v="0"/>
    <n v="1176664"/>
    <x v="2"/>
    <x v="3"/>
    <x v="0"/>
    <n v="86"/>
    <x v="0"/>
    <n v="45"/>
    <n v="1019184"/>
    <n v="1410325"/>
    <s v="Nisha"/>
    <x v="2"/>
  </r>
  <r>
    <x v="3"/>
    <x v="1"/>
    <x v="1"/>
    <x v="26"/>
    <x v="6"/>
    <n v="791995"/>
    <x v="5"/>
    <x v="0"/>
    <x v="1"/>
    <n v="74"/>
    <x v="1"/>
    <n v="30"/>
    <n v="623475"/>
    <n v="961299"/>
    <s v="Arjun"/>
    <x v="1"/>
  </r>
  <r>
    <x v="10"/>
    <x v="2"/>
    <x v="3"/>
    <x v="21"/>
    <x v="0"/>
    <n v="1574132"/>
    <x v="4"/>
    <x v="1"/>
    <x v="1"/>
    <n v="74"/>
    <x v="0"/>
    <n v="90"/>
    <n v="1430439"/>
    <n v="1739905"/>
    <s v="Simran"/>
    <x v="2"/>
  </r>
  <r>
    <x v="2"/>
    <x v="2"/>
    <x v="3"/>
    <x v="27"/>
    <x v="1"/>
    <n v="803351"/>
    <x v="4"/>
    <x v="1"/>
    <x v="3"/>
    <n v="85"/>
    <x v="0"/>
    <n v="90"/>
    <n v="614942"/>
    <n v="1017306"/>
    <s v="Ajay"/>
    <x v="1"/>
  </r>
  <r>
    <x v="9"/>
    <x v="2"/>
    <x v="2"/>
    <x v="28"/>
    <x v="6"/>
    <n v="1537551"/>
    <x v="5"/>
    <x v="3"/>
    <x v="6"/>
    <n v="94"/>
    <x v="0"/>
    <n v="30"/>
    <n v="1426551"/>
    <n v="1689681"/>
    <s v="Arjun"/>
    <x v="1"/>
  </r>
  <r>
    <x v="10"/>
    <x v="4"/>
    <x v="1"/>
    <x v="29"/>
    <x v="2"/>
    <n v="1032687"/>
    <x v="1"/>
    <x v="0"/>
    <x v="5"/>
    <n v="91"/>
    <x v="1"/>
    <n v="45"/>
    <n v="914840"/>
    <n v="1178742"/>
    <s v="Ashok"/>
    <x v="1"/>
  </r>
  <r>
    <x v="13"/>
    <x v="7"/>
    <x v="1"/>
    <x v="30"/>
    <x v="1"/>
    <n v="2647006"/>
    <x v="5"/>
    <x v="1"/>
    <x v="7"/>
    <n v="77"/>
    <x v="1"/>
    <n v="45"/>
    <n v="2568880"/>
    <n v="2856518"/>
    <s v="Karthik"/>
    <x v="2"/>
  </r>
  <r>
    <x v="8"/>
    <x v="4"/>
    <x v="2"/>
    <x v="31"/>
    <x v="4"/>
    <n v="807975"/>
    <x v="0"/>
    <x v="3"/>
    <x v="7"/>
    <n v="93"/>
    <x v="0"/>
    <n v="45"/>
    <n v="722002"/>
    <n v="925784"/>
    <s v="Rahul"/>
    <x v="0"/>
  </r>
  <r>
    <x v="6"/>
    <x v="4"/>
    <x v="1"/>
    <x v="32"/>
    <x v="5"/>
    <n v="398941"/>
    <x v="4"/>
    <x v="3"/>
    <x v="1"/>
    <n v="91"/>
    <x v="1"/>
    <n v="30"/>
    <n v="219373"/>
    <n v="565804"/>
    <s v="Sneha"/>
    <x v="1"/>
  </r>
  <r>
    <x v="14"/>
    <x v="4"/>
    <x v="1"/>
    <x v="4"/>
    <x v="6"/>
    <n v="1117617"/>
    <x v="4"/>
    <x v="2"/>
    <x v="4"/>
    <n v="73"/>
    <x v="1"/>
    <n v="30"/>
    <n v="1020149"/>
    <n v="1377869"/>
    <s v="Amit"/>
    <x v="1"/>
  </r>
  <r>
    <x v="1"/>
    <x v="4"/>
    <x v="0"/>
    <x v="33"/>
    <x v="1"/>
    <n v="1882372"/>
    <x v="5"/>
    <x v="2"/>
    <x v="4"/>
    <n v="74"/>
    <x v="0"/>
    <n v="90"/>
    <n v="1686579"/>
    <n v="2060306"/>
    <s v="Karthik"/>
    <x v="2"/>
  </r>
  <r>
    <x v="10"/>
    <x v="3"/>
    <x v="2"/>
    <x v="34"/>
    <x v="4"/>
    <n v="1838056"/>
    <x v="5"/>
    <x v="2"/>
    <x v="2"/>
    <n v="61"/>
    <x v="0"/>
    <n v="30"/>
    <n v="1658252"/>
    <n v="1901917"/>
    <s v="Karthik"/>
    <x v="0"/>
  </r>
  <r>
    <x v="12"/>
    <x v="2"/>
    <x v="2"/>
    <x v="11"/>
    <x v="6"/>
    <n v="2028151"/>
    <x v="3"/>
    <x v="1"/>
    <x v="2"/>
    <n v="85"/>
    <x v="0"/>
    <n v="30"/>
    <n v="1960920"/>
    <n v="2184092"/>
    <s v="Ashok"/>
    <x v="0"/>
  </r>
  <r>
    <x v="1"/>
    <x v="3"/>
    <x v="3"/>
    <x v="35"/>
    <x v="0"/>
    <n v="1928578"/>
    <x v="4"/>
    <x v="1"/>
    <x v="1"/>
    <n v="86"/>
    <x v="0"/>
    <n v="30"/>
    <n v="1844409"/>
    <n v="2200068"/>
    <s v="Sneha"/>
    <x v="0"/>
  </r>
  <r>
    <x v="15"/>
    <x v="7"/>
    <x v="0"/>
    <x v="24"/>
    <x v="4"/>
    <n v="556327"/>
    <x v="5"/>
    <x v="2"/>
    <x v="6"/>
    <n v="90"/>
    <x v="0"/>
    <n v="45"/>
    <n v="374758"/>
    <n v="663310"/>
    <s v="Ajay"/>
    <x v="1"/>
  </r>
  <r>
    <x v="3"/>
    <x v="0"/>
    <x v="2"/>
    <x v="36"/>
    <x v="3"/>
    <n v="2183896"/>
    <x v="4"/>
    <x v="3"/>
    <x v="2"/>
    <n v="59"/>
    <x v="0"/>
    <n v="90"/>
    <n v="2081920"/>
    <n v="2391228"/>
    <s v="Karthik"/>
    <x v="2"/>
  </r>
  <r>
    <x v="14"/>
    <x v="5"/>
    <x v="2"/>
    <x v="37"/>
    <x v="6"/>
    <n v="2655788"/>
    <x v="5"/>
    <x v="0"/>
    <x v="1"/>
    <n v="85"/>
    <x v="0"/>
    <n v="45"/>
    <n v="2488805"/>
    <n v="2747710"/>
    <s v="Deepak"/>
    <x v="1"/>
  </r>
  <r>
    <x v="14"/>
    <x v="5"/>
    <x v="2"/>
    <x v="3"/>
    <x v="6"/>
    <n v="2342774"/>
    <x v="1"/>
    <x v="0"/>
    <x v="5"/>
    <n v="77"/>
    <x v="0"/>
    <n v="30"/>
    <n v="2267998"/>
    <n v="2543784"/>
    <s v="Ravi"/>
    <x v="2"/>
  </r>
  <r>
    <x v="7"/>
    <x v="2"/>
    <x v="3"/>
    <x v="38"/>
    <x v="1"/>
    <n v="1513518"/>
    <x v="5"/>
    <x v="2"/>
    <x v="6"/>
    <n v="71"/>
    <x v="0"/>
    <n v="45"/>
    <n v="1321925"/>
    <n v="1803424"/>
    <s v="Vikram"/>
    <x v="2"/>
  </r>
  <r>
    <x v="3"/>
    <x v="4"/>
    <x v="0"/>
    <x v="25"/>
    <x v="4"/>
    <n v="1048160"/>
    <x v="3"/>
    <x v="1"/>
    <x v="0"/>
    <n v="84"/>
    <x v="0"/>
    <n v="30"/>
    <n v="867664"/>
    <n v="1311553"/>
    <s v="Rahul"/>
    <x v="2"/>
  </r>
  <r>
    <x v="9"/>
    <x v="1"/>
    <x v="1"/>
    <x v="33"/>
    <x v="0"/>
    <n v="1714268"/>
    <x v="4"/>
    <x v="1"/>
    <x v="1"/>
    <n v="78"/>
    <x v="1"/>
    <n v="45"/>
    <n v="1615710"/>
    <n v="1917325"/>
    <s v="Amit"/>
    <x v="2"/>
  </r>
  <r>
    <x v="0"/>
    <x v="7"/>
    <x v="0"/>
    <x v="39"/>
    <x v="1"/>
    <n v="862006"/>
    <x v="2"/>
    <x v="0"/>
    <x v="3"/>
    <n v="70"/>
    <x v="0"/>
    <n v="60"/>
    <n v="689456"/>
    <n v="983201"/>
    <s v="Nisha"/>
    <x v="0"/>
  </r>
  <r>
    <x v="10"/>
    <x v="0"/>
    <x v="0"/>
    <x v="40"/>
    <x v="1"/>
    <n v="1010582"/>
    <x v="4"/>
    <x v="3"/>
    <x v="1"/>
    <n v="76"/>
    <x v="0"/>
    <n v="90"/>
    <n v="920590"/>
    <n v="1135027"/>
    <s v="Divya"/>
    <x v="0"/>
  </r>
  <r>
    <x v="8"/>
    <x v="3"/>
    <x v="3"/>
    <x v="41"/>
    <x v="5"/>
    <n v="430792"/>
    <x v="1"/>
    <x v="0"/>
    <x v="7"/>
    <n v="81"/>
    <x v="0"/>
    <n v="90"/>
    <n v="273871"/>
    <n v="577803"/>
    <s v="Divya"/>
    <x v="0"/>
  </r>
  <r>
    <x v="4"/>
    <x v="1"/>
    <x v="1"/>
    <x v="42"/>
    <x v="1"/>
    <n v="2166324"/>
    <x v="1"/>
    <x v="1"/>
    <x v="5"/>
    <n v="88"/>
    <x v="1"/>
    <n v="30"/>
    <n v="2038746"/>
    <n v="2279953"/>
    <s v="Karthik"/>
    <x v="2"/>
  </r>
  <r>
    <x v="8"/>
    <x v="4"/>
    <x v="2"/>
    <x v="43"/>
    <x v="0"/>
    <n v="1439843"/>
    <x v="0"/>
    <x v="0"/>
    <x v="3"/>
    <n v="55"/>
    <x v="0"/>
    <n v="30"/>
    <n v="1252898"/>
    <n v="1698637"/>
    <s v="Simran"/>
    <x v="2"/>
  </r>
  <r>
    <x v="5"/>
    <x v="7"/>
    <x v="2"/>
    <x v="44"/>
    <x v="3"/>
    <n v="1916647"/>
    <x v="3"/>
    <x v="1"/>
    <x v="4"/>
    <n v="91"/>
    <x v="0"/>
    <n v="30"/>
    <n v="1851978"/>
    <n v="2089665"/>
    <s v="Pooja"/>
    <x v="1"/>
  </r>
  <r>
    <x v="12"/>
    <x v="5"/>
    <x v="1"/>
    <x v="45"/>
    <x v="5"/>
    <n v="895179"/>
    <x v="1"/>
    <x v="1"/>
    <x v="7"/>
    <n v="90"/>
    <x v="1"/>
    <n v="60"/>
    <n v="814693"/>
    <n v="1039681"/>
    <s v="Ashok"/>
    <x v="2"/>
  </r>
  <r>
    <x v="10"/>
    <x v="1"/>
    <x v="0"/>
    <x v="46"/>
    <x v="5"/>
    <n v="2272378"/>
    <x v="3"/>
    <x v="0"/>
    <x v="3"/>
    <n v="83"/>
    <x v="0"/>
    <n v="60"/>
    <n v="2102426"/>
    <n v="2560414"/>
    <s v="Simran"/>
    <x v="2"/>
  </r>
  <r>
    <x v="7"/>
    <x v="7"/>
    <x v="3"/>
    <x v="9"/>
    <x v="1"/>
    <n v="1453968"/>
    <x v="5"/>
    <x v="1"/>
    <x v="0"/>
    <n v="64"/>
    <x v="0"/>
    <n v="45"/>
    <n v="1401898"/>
    <n v="1637603"/>
    <s v="Kiran"/>
    <x v="0"/>
  </r>
  <r>
    <x v="3"/>
    <x v="2"/>
    <x v="0"/>
    <x v="47"/>
    <x v="0"/>
    <n v="2609904"/>
    <x v="2"/>
    <x v="2"/>
    <x v="0"/>
    <n v="56"/>
    <x v="0"/>
    <n v="90"/>
    <n v="2535224"/>
    <n v="2849844"/>
    <s v="Rahul"/>
    <x v="1"/>
  </r>
  <r>
    <x v="4"/>
    <x v="4"/>
    <x v="1"/>
    <x v="24"/>
    <x v="6"/>
    <n v="2477087"/>
    <x v="2"/>
    <x v="1"/>
    <x v="4"/>
    <n v="82"/>
    <x v="1"/>
    <n v="60"/>
    <n v="2338612"/>
    <n v="2568677"/>
    <s v="Anjali"/>
    <x v="1"/>
  </r>
  <r>
    <x v="7"/>
    <x v="2"/>
    <x v="2"/>
    <x v="48"/>
    <x v="4"/>
    <n v="891309"/>
    <x v="3"/>
    <x v="1"/>
    <x v="1"/>
    <n v="58"/>
    <x v="0"/>
    <n v="30"/>
    <n v="714186"/>
    <n v="1187599"/>
    <s v="Nisha"/>
    <x v="2"/>
  </r>
  <r>
    <x v="16"/>
    <x v="3"/>
    <x v="0"/>
    <x v="42"/>
    <x v="4"/>
    <n v="2647800"/>
    <x v="4"/>
    <x v="2"/>
    <x v="2"/>
    <n v="79"/>
    <x v="0"/>
    <n v="45"/>
    <n v="2566223"/>
    <n v="2887576"/>
    <s v="Kiran"/>
    <x v="2"/>
  </r>
  <r>
    <x v="13"/>
    <x v="0"/>
    <x v="0"/>
    <x v="49"/>
    <x v="4"/>
    <n v="448465"/>
    <x v="5"/>
    <x v="3"/>
    <x v="4"/>
    <n v="62"/>
    <x v="0"/>
    <n v="30"/>
    <n v="362250"/>
    <n v="626460"/>
    <s v="Divya"/>
    <x v="1"/>
  </r>
  <r>
    <x v="12"/>
    <x v="3"/>
    <x v="2"/>
    <x v="50"/>
    <x v="3"/>
    <n v="1693295"/>
    <x v="5"/>
    <x v="1"/>
    <x v="0"/>
    <n v="79"/>
    <x v="0"/>
    <n v="90"/>
    <n v="1504223"/>
    <n v="1983203"/>
    <s v="Simran"/>
    <x v="1"/>
  </r>
  <r>
    <x v="1"/>
    <x v="6"/>
    <x v="1"/>
    <x v="51"/>
    <x v="3"/>
    <n v="526572"/>
    <x v="1"/>
    <x v="1"/>
    <x v="6"/>
    <n v="93"/>
    <x v="1"/>
    <n v="30"/>
    <n v="430934"/>
    <n v="768986"/>
    <s v="Deepak"/>
    <x v="2"/>
  </r>
  <r>
    <x v="0"/>
    <x v="2"/>
    <x v="1"/>
    <x v="22"/>
    <x v="0"/>
    <n v="2489807"/>
    <x v="5"/>
    <x v="2"/>
    <x v="1"/>
    <n v="95"/>
    <x v="1"/>
    <n v="90"/>
    <n v="2338706"/>
    <n v="2763572"/>
    <s v="Pooja"/>
    <x v="1"/>
  </r>
  <r>
    <x v="15"/>
    <x v="3"/>
    <x v="3"/>
    <x v="52"/>
    <x v="1"/>
    <n v="2672389"/>
    <x v="1"/>
    <x v="3"/>
    <x v="3"/>
    <n v="89"/>
    <x v="0"/>
    <n v="30"/>
    <n v="2528844"/>
    <n v="2830271"/>
    <s v="Kiran"/>
    <x v="0"/>
  </r>
  <r>
    <x v="10"/>
    <x v="1"/>
    <x v="3"/>
    <x v="53"/>
    <x v="2"/>
    <n v="1088535"/>
    <x v="0"/>
    <x v="1"/>
    <x v="5"/>
    <n v="77"/>
    <x v="0"/>
    <n v="45"/>
    <n v="895524"/>
    <n v="1290474"/>
    <s v="Divya"/>
    <x v="1"/>
  </r>
  <r>
    <x v="2"/>
    <x v="3"/>
    <x v="1"/>
    <x v="54"/>
    <x v="0"/>
    <n v="1475849"/>
    <x v="0"/>
    <x v="1"/>
    <x v="2"/>
    <n v="60"/>
    <x v="1"/>
    <n v="90"/>
    <n v="1291403"/>
    <n v="1610616"/>
    <s v="Ravi"/>
    <x v="2"/>
  </r>
  <r>
    <x v="2"/>
    <x v="0"/>
    <x v="2"/>
    <x v="2"/>
    <x v="1"/>
    <n v="1592737"/>
    <x v="5"/>
    <x v="0"/>
    <x v="4"/>
    <n v="81"/>
    <x v="0"/>
    <n v="90"/>
    <n v="1538043"/>
    <n v="1719080"/>
    <s v="Ashok"/>
    <x v="0"/>
  </r>
  <r>
    <x v="16"/>
    <x v="2"/>
    <x v="0"/>
    <x v="55"/>
    <x v="4"/>
    <n v="2158645"/>
    <x v="1"/>
    <x v="1"/>
    <x v="6"/>
    <n v="56"/>
    <x v="0"/>
    <n v="90"/>
    <n v="2009935"/>
    <n v="2451618"/>
    <s v="Rohit"/>
    <x v="2"/>
  </r>
  <r>
    <x v="17"/>
    <x v="0"/>
    <x v="3"/>
    <x v="56"/>
    <x v="2"/>
    <n v="1592337"/>
    <x v="2"/>
    <x v="1"/>
    <x v="6"/>
    <n v="81"/>
    <x v="0"/>
    <n v="45"/>
    <n v="1456117"/>
    <n v="1741967"/>
    <s v="Ajay"/>
    <x v="2"/>
  </r>
  <r>
    <x v="6"/>
    <x v="4"/>
    <x v="2"/>
    <x v="57"/>
    <x v="2"/>
    <n v="1398381"/>
    <x v="4"/>
    <x v="1"/>
    <x v="3"/>
    <n v="66"/>
    <x v="0"/>
    <n v="45"/>
    <n v="1320423"/>
    <n v="1685928"/>
    <s v="Rohit"/>
    <x v="0"/>
  </r>
  <r>
    <x v="3"/>
    <x v="5"/>
    <x v="3"/>
    <x v="58"/>
    <x v="4"/>
    <n v="2107547"/>
    <x v="5"/>
    <x v="0"/>
    <x v="6"/>
    <n v="76"/>
    <x v="0"/>
    <n v="45"/>
    <n v="1938729"/>
    <n v="2199661"/>
    <s v="Kiran"/>
    <x v="0"/>
  </r>
  <r>
    <x v="7"/>
    <x v="6"/>
    <x v="1"/>
    <x v="59"/>
    <x v="5"/>
    <n v="2405516"/>
    <x v="0"/>
    <x v="3"/>
    <x v="4"/>
    <n v="80"/>
    <x v="1"/>
    <n v="60"/>
    <n v="2264741"/>
    <n v="2461490"/>
    <s v="Sonal"/>
    <x v="1"/>
  </r>
  <r>
    <x v="17"/>
    <x v="1"/>
    <x v="2"/>
    <x v="60"/>
    <x v="6"/>
    <n v="1726209"/>
    <x v="3"/>
    <x v="3"/>
    <x v="6"/>
    <n v="80"/>
    <x v="0"/>
    <n v="60"/>
    <n v="1658455"/>
    <n v="1955631"/>
    <s v="Anjali"/>
    <x v="1"/>
  </r>
  <r>
    <x v="8"/>
    <x v="6"/>
    <x v="1"/>
    <x v="8"/>
    <x v="1"/>
    <n v="2591171"/>
    <x v="5"/>
    <x v="3"/>
    <x v="1"/>
    <n v="57"/>
    <x v="1"/>
    <n v="60"/>
    <n v="2503769"/>
    <n v="2757775"/>
    <s v="Rohit"/>
    <x v="0"/>
  </r>
  <r>
    <x v="0"/>
    <x v="3"/>
    <x v="2"/>
    <x v="61"/>
    <x v="4"/>
    <n v="836143"/>
    <x v="2"/>
    <x v="3"/>
    <x v="7"/>
    <n v="93"/>
    <x v="0"/>
    <n v="30"/>
    <n v="784578"/>
    <n v="1067694"/>
    <s v="Rohit"/>
    <x v="0"/>
  </r>
  <r>
    <x v="18"/>
    <x v="7"/>
    <x v="2"/>
    <x v="23"/>
    <x v="4"/>
    <n v="2436640"/>
    <x v="2"/>
    <x v="3"/>
    <x v="2"/>
    <n v="91"/>
    <x v="0"/>
    <n v="30"/>
    <n v="2308056"/>
    <n v="2663536"/>
    <s v="Ravi"/>
    <x v="2"/>
  </r>
  <r>
    <x v="3"/>
    <x v="7"/>
    <x v="1"/>
    <x v="62"/>
    <x v="2"/>
    <n v="533567"/>
    <x v="0"/>
    <x v="0"/>
    <x v="2"/>
    <n v="68"/>
    <x v="1"/>
    <n v="45"/>
    <n v="351131"/>
    <n v="771951"/>
    <s v="Ravi"/>
    <x v="1"/>
  </r>
  <r>
    <x v="7"/>
    <x v="1"/>
    <x v="3"/>
    <x v="63"/>
    <x v="6"/>
    <n v="1975161"/>
    <x v="4"/>
    <x v="2"/>
    <x v="7"/>
    <n v="92"/>
    <x v="0"/>
    <n v="30"/>
    <n v="1897529"/>
    <n v="2182938"/>
    <s v="Ravi"/>
    <x v="2"/>
  </r>
  <r>
    <x v="11"/>
    <x v="7"/>
    <x v="2"/>
    <x v="64"/>
    <x v="6"/>
    <n v="2047543"/>
    <x v="1"/>
    <x v="1"/>
    <x v="5"/>
    <n v="57"/>
    <x v="0"/>
    <n v="30"/>
    <n v="1955970"/>
    <n v="2137950"/>
    <s v="Divya"/>
    <x v="0"/>
  </r>
  <r>
    <x v="14"/>
    <x v="3"/>
    <x v="0"/>
    <x v="65"/>
    <x v="6"/>
    <n v="884961"/>
    <x v="4"/>
    <x v="2"/>
    <x v="3"/>
    <n v="70"/>
    <x v="0"/>
    <n v="45"/>
    <n v="752550"/>
    <n v="976448"/>
    <s v="Karthik"/>
    <x v="0"/>
  </r>
  <r>
    <x v="4"/>
    <x v="4"/>
    <x v="2"/>
    <x v="59"/>
    <x v="0"/>
    <n v="811370"/>
    <x v="5"/>
    <x v="2"/>
    <x v="6"/>
    <n v="74"/>
    <x v="0"/>
    <n v="60"/>
    <n v="688530"/>
    <n v="902592"/>
    <s v="Ashok"/>
    <x v="0"/>
  </r>
  <r>
    <x v="1"/>
    <x v="3"/>
    <x v="1"/>
    <x v="66"/>
    <x v="2"/>
    <n v="2740169"/>
    <x v="2"/>
    <x v="0"/>
    <x v="3"/>
    <n v="89"/>
    <x v="1"/>
    <n v="60"/>
    <n v="2618685"/>
    <n v="2871807"/>
    <s v="Simran"/>
    <x v="0"/>
  </r>
  <r>
    <x v="18"/>
    <x v="3"/>
    <x v="1"/>
    <x v="17"/>
    <x v="0"/>
    <n v="1338583"/>
    <x v="5"/>
    <x v="1"/>
    <x v="4"/>
    <n v="56"/>
    <x v="1"/>
    <n v="30"/>
    <n v="1202820"/>
    <n v="1573140"/>
    <s v="Rahul"/>
    <x v="0"/>
  </r>
  <r>
    <x v="17"/>
    <x v="4"/>
    <x v="1"/>
    <x v="67"/>
    <x v="2"/>
    <n v="886262"/>
    <x v="0"/>
    <x v="3"/>
    <x v="3"/>
    <n v="95"/>
    <x v="1"/>
    <n v="45"/>
    <n v="813229"/>
    <n v="1020580"/>
    <s v="Ashok"/>
    <x v="0"/>
  </r>
  <r>
    <x v="10"/>
    <x v="6"/>
    <x v="2"/>
    <x v="68"/>
    <x v="6"/>
    <n v="2746588"/>
    <x v="5"/>
    <x v="0"/>
    <x v="0"/>
    <n v="92"/>
    <x v="0"/>
    <n v="60"/>
    <n v="2600098"/>
    <n v="2861676"/>
    <s v="Ravi"/>
    <x v="2"/>
  </r>
  <r>
    <x v="6"/>
    <x v="4"/>
    <x v="1"/>
    <x v="18"/>
    <x v="2"/>
    <n v="1300358"/>
    <x v="4"/>
    <x v="1"/>
    <x v="1"/>
    <n v="79"/>
    <x v="1"/>
    <n v="30"/>
    <n v="1147249"/>
    <n v="1580131"/>
    <s v="Karthik"/>
    <x v="1"/>
  </r>
  <r>
    <x v="2"/>
    <x v="3"/>
    <x v="3"/>
    <x v="19"/>
    <x v="2"/>
    <n v="1103997"/>
    <x v="5"/>
    <x v="1"/>
    <x v="7"/>
    <n v="60"/>
    <x v="0"/>
    <n v="90"/>
    <n v="953642"/>
    <n v="1183145"/>
    <s v="Deepak"/>
    <x v="2"/>
  </r>
  <r>
    <x v="5"/>
    <x v="1"/>
    <x v="2"/>
    <x v="69"/>
    <x v="6"/>
    <n v="2169466"/>
    <x v="0"/>
    <x v="1"/>
    <x v="1"/>
    <n v="57"/>
    <x v="0"/>
    <n v="60"/>
    <n v="2029286"/>
    <n v="2410640"/>
    <s v="Simran"/>
    <x v="1"/>
  </r>
  <r>
    <x v="15"/>
    <x v="5"/>
    <x v="2"/>
    <x v="42"/>
    <x v="2"/>
    <n v="1180140"/>
    <x v="0"/>
    <x v="1"/>
    <x v="0"/>
    <n v="88"/>
    <x v="0"/>
    <n v="30"/>
    <n v="995194"/>
    <n v="1285391"/>
    <s v="Rahul"/>
    <x v="0"/>
  </r>
  <r>
    <x v="3"/>
    <x v="6"/>
    <x v="2"/>
    <x v="8"/>
    <x v="5"/>
    <n v="2735128"/>
    <x v="3"/>
    <x v="0"/>
    <x v="3"/>
    <n v="62"/>
    <x v="0"/>
    <n v="45"/>
    <n v="2613943"/>
    <n v="2819238"/>
    <s v="Nisha"/>
    <x v="2"/>
  </r>
  <r>
    <x v="14"/>
    <x v="5"/>
    <x v="1"/>
    <x v="31"/>
    <x v="2"/>
    <n v="1570894"/>
    <x v="5"/>
    <x v="0"/>
    <x v="6"/>
    <n v="66"/>
    <x v="1"/>
    <n v="45"/>
    <n v="1504695"/>
    <n v="1827882"/>
    <s v="Anjali"/>
    <x v="2"/>
  </r>
  <r>
    <x v="5"/>
    <x v="2"/>
    <x v="0"/>
    <x v="11"/>
    <x v="4"/>
    <n v="2079278"/>
    <x v="3"/>
    <x v="1"/>
    <x v="0"/>
    <n v="92"/>
    <x v="0"/>
    <n v="60"/>
    <n v="2017236"/>
    <n v="2264762"/>
    <s v="Anjali"/>
    <x v="0"/>
  </r>
  <r>
    <x v="13"/>
    <x v="6"/>
    <x v="0"/>
    <x v="70"/>
    <x v="4"/>
    <n v="2006472"/>
    <x v="4"/>
    <x v="3"/>
    <x v="3"/>
    <n v="81"/>
    <x v="0"/>
    <n v="60"/>
    <n v="1832755"/>
    <n v="2205815"/>
    <s v="Rohit"/>
    <x v="2"/>
  </r>
  <r>
    <x v="11"/>
    <x v="1"/>
    <x v="3"/>
    <x v="71"/>
    <x v="1"/>
    <n v="1608270"/>
    <x v="3"/>
    <x v="2"/>
    <x v="5"/>
    <n v="83"/>
    <x v="0"/>
    <n v="30"/>
    <n v="1458886"/>
    <n v="1879086"/>
    <s v="Nisha"/>
    <x v="0"/>
  </r>
  <r>
    <x v="0"/>
    <x v="7"/>
    <x v="1"/>
    <x v="40"/>
    <x v="3"/>
    <n v="2600341"/>
    <x v="0"/>
    <x v="1"/>
    <x v="1"/>
    <n v="76"/>
    <x v="1"/>
    <n v="30"/>
    <n v="2455281"/>
    <n v="2721431"/>
    <s v="Ajay"/>
    <x v="0"/>
  </r>
  <r>
    <x v="5"/>
    <x v="5"/>
    <x v="2"/>
    <x v="68"/>
    <x v="2"/>
    <n v="2412626"/>
    <x v="2"/>
    <x v="2"/>
    <x v="2"/>
    <n v="90"/>
    <x v="0"/>
    <n v="30"/>
    <n v="2352693"/>
    <n v="2587202"/>
    <s v="Vikram"/>
    <x v="2"/>
  </r>
  <r>
    <x v="17"/>
    <x v="6"/>
    <x v="0"/>
    <x v="72"/>
    <x v="6"/>
    <n v="1346136"/>
    <x v="2"/>
    <x v="0"/>
    <x v="4"/>
    <n v="62"/>
    <x v="0"/>
    <n v="60"/>
    <n v="1204273"/>
    <n v="1574658"/>
    <s v="Sneha"/>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AD5E29-D792-4D9F-AB51-FE07AF72EF46}" name="PivotTable1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location ref="A121:B128" firstHeaderRow="1" firstDataRow="1" firstDataCol="1"/>
  <pivotFields count="17">
    <pivotField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dataField="1" showAll="0"/>
    <pivotField axis="axisRow"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6"/>
  </rowFields>
  <rowItems count="7">
    <i>
      <x/>
    </i>
    <i>
      <x v="1"/>
    </i>
    <i>
      <x v="2"/>
    </i>
    <i>
      <x v="3"/>
    </i>
    <i>
      <x v="4"/>
    </i>
    <i>
      <x v="5"/>
    </i>
    <i t="grand">
      <x/>
    </i>
  </rowItems>
  <colItems count="1">
    <i/>
  </colItems>
  <dataFields count="1">
    <dataField name="Sum of Salary" fld="5" baseField="0" baseItem="0"/>
  </dataFields>
  <formats count="1">
    <format dxfId="1">
      <pivotArea outline="0" collapsedLevelsAreSubtotals="1" fieldPosition="0"/>
    </format>
  </format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AE50DE-E811-41A9-B040-8BED26D0FF2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Y64:AA69" firstHeaderRow="0" firstDataRow="1" firstDataCol="1"/>
  <pivotFields count="17">
    <pivotField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dataField="1" showAll="0">
      <items count="7">
        <item x="1"/>
        <item x="4"/>
        <item x="3"/>
        <item x="0"/>
        <item x="5"/>
        <item x="2"/>
        <item t="default"/>
      </items>
    </pivotField>
    <pivotField axis="axisRow" showAll="0">
      <items count="5">
        <item x="3"/>
        <item x="0"/>
        <item x="2"/>
        <item x="1"/>
        <item t="default"/>
      </items>
    </pivotField>
    <pivotField showAll="0"/>
    <pivotField dataField="1"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7"/>
  </rowFields>
  <rowItems count="5">
    <i>
      <x/>
    </i>
    <i>
      <x v="1"/>
    </i>
    <i>
      <x v="2"/>
    </i>
    <i>
      <x v="3"/>
    </i>
    <i t="grand">
      <x/>
    </i>
  </rowItems>
  <colFields count="1">
    <field x="-2"/>
  </colFields>
  <colItems count="2">
    <i>
      <x/>
    </i>
    <i i="1">
      <x v="1"/>
    </i>
  </colItems>
  <dataFields count="2">
    <dataField name="Sum of Experience" fld="6" baseField="0" baseItem="0"/>
    <dataField name="Sum of Interview Score" fld="9"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0" format="4">
      <pivotArea type="data" outline="0" fieldPosition="0">
        <references count="2">
          <reference field="4294967294" count="1" selected="0">
            <x v="0"/>
          </reference>
          <reference field="7" count="1" selected="0">
            <x v="2"/>
          </reference>
        </references>
      </pivotArea>
    </chartFormat>
    <chartFormat chart="0" format="5">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2B8D6C-6C03-4D17-AD63-E5F5C9E7A5B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22" firstHeaderRow="1" firstDataRow="1"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dataField="1" showAll="0">
      <items count="5">
        <item x="3"/>
        <item x="2"/>
        <item x="1"/>
        <item x="0"/>
        <item t="default"/>
      </items>
    </pivotField>
    <pivotField showAll="0"/>
    <pivotField showAll="0">
      <items count="8">
        <item x="5"/>
        <item x="6"/>
        <item x="4"/>
        <item x="2"/>
        <item x="0"/>
        <item x="1"/>
        <item x="3"/>
        <item t="default"/>
      </items>
    </pivotField>
    <pivotField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i>
    <i r="1">
      <x v="1"/>
    </i>
    <i r="1">
      <x v="2"/>
    </i>
    <i r="1">
      <x v="3"/>
    </i>
    <i r="1">
      <x v="4"/>
    </i>
    <i r="1">
      <x v="5"/>
    </i>
    <i r="1">
      <x v="6"/>
    </i>
    <i r="1">
      <x v="7"/>
    </i>
    <i r="1">
      <x v="8"/>
    </i>
    <i r="1">
      <x v="9"/>
    </i>
    <i r="1">
      <x v="10"/>
    </i>
    <i r="1">
      <x v="11"/>
    </i>
    <i r="1">
      <x v="12"/>
    </i>
    <i r="1">
      <x v="13"/>
    </i>
    <i r="1">
      <x v="14"/>
    </i>
    <i r="1">
      <x v="15"/>
    </i>
    <i r="1">
      <x v="16"/>
    </i>
    <i r="1">
      <x v="17"/>
    </i>
    <i r="1">
      <x v="18"/>
    </i>
    <i t="grand">
      <x/>
    </i>
  </rowItems>
  <colItems count="1">
    <i/>
  </colItems>
  <dataFields count="1">
    <dataField name="Count of Status" fld="2" subtotal="count" baseField="0" baseItem="0"/>
  </dataFields>
  <formats count="6">
    <format dxfId="7">
      <pivotArea type="all" dataOnly="0" outline="0" fieldPosition="0"/>
    </format>
    <format dxfId="6">
      <pivotArea outline="0" collapsedLevelsAreSubtotals="1" fieldPosition="0"/>
    </format>
    <format dxfId="5">
      <pivotArea field="0" type="button" dataOnly="0" labelOnly="1" outline="0" axis="axisRow" fieldPosition="1"/>
    </format>
    <format dxfId="4">
      <pivotArea dataOnly="0" labelOnly="1" fieldPosition="0">
        <references count="1">
          <reference field="0" count="0"/>
        </references>
      </pivotArea>
    </format>
    <format dxfId="3">
      <pivotArea dataOnly="0" labelOnly="1" grandRow="1" outline="0" fieldPosition="0"/>
    </format>
    <format dxfId="2">
      <pivotArea dataOnly="0" labelOnly="1" outline="0" axis="axisValues" fieldPosition="0"/>
    </format>
  </formats>
  <chartFormats count="3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3">
      <pivotArea type="data" outline="0" fieldPosition="0">
        <references count="2">
          <reference field="4294967294" count="1" selected="0">
            <x v="0"/>
          </reference>
          <reference field="0" count="1" selected="0">
            <x v="12"/>
          </reference>
        </references>
      </pivotArea>
    </chartFormat>
    <chartFormat chart="0" format="14">
      <pivotArea type="data" outline="0" fieldPosition="0">
        <references count="2">
          <reference field="4294967294" count="1" selected="0">
            <x v="0"/>
          </reference>
          <reference field="0" count="1" selected="0">
            <x v="13"/>
          </reference>
        </references>
      </pivotArea>
    </chartFormat>
    <chartFormat chart="0" format="15">
      <pivotArea type="data" outline="0" fieldPosition="0">
        <references count="2">
          <reference field="4294967294" count="1" selected="0">
            <x v="0"/>
          </reference>
          <reference field="0" count="1" selected="0">
            <x v="14"/>
          </reference>
        </references>
      </pivotArea>
    </chartFormat>
    <chartFormat chart="0" format="16">
      <pivotArea type="data" outline="0" fieldPosition="0">
        <references count="2">
          <reference field="4294967294" count="1" selected="0">
            <x v="0"/>
          </reference>
          <reference field="0" count="1" selected="0">
            <x v="15"/>
          </reference>
        </references>
      </pivotArea>
    </chartFormat>
    <chartFormat chart="0" format="17">
      <pivotArea type="data" outline="0" fieldPosition="0">
        <references count="2">
          <reference field="4294967294" count="1" selected="0">
            <x v="0"/>
          </reference>
          <reference field="0" count="1" selected="0">
            <x v="16"/>
          </reference>
        </references>
      </pivotArea>
    </chartFormat>
    <chartFormat chart="0" format="18">
      <pivotArea type="data" outline="0" fieldPosition="0">
        <references count="2">
          <reference field="4294967294" count="1" selected="0">
            <x v="0"/>
          </reference>
          <reference field="0" count="1" selected="0">
            <x v="17"/>
          </reference>
        </references>
      </pivotArea>
    </chartFormat>
    <chartFormat chart="0" format="19">
      <pivotArea type="data" outline="0" fieldPosition="0">
        <references count="2">
          <reference field="4294967294" count="1" selected="0">
            <x v="0"/>
          </reference>
          <reference field="0" count="1" selected="0">
            <x v="18"/>
          </reference>
        </references>
      </pivotArea>
    </chartFormat>
    <chartFormat chart="0" format="56">
      <pivotArea type="data" outline="0" fieldPosition="0">
        <references count="3">
          <reference field="4294967294" count="1" selected="0">
            <x v="0"/>
          </reference>
          <reference field="0" count="1" selected="0">
            <x v="2"/>
          </reference>
          <reference field="16" count="1" selected="0">
            <x v="0"/>
          </reference>
        </references>
      </pivotArea>
    </chartFormat>
    <chartFormat chart="0" format="57">
      <pivotArea type="data" outline="0" fieldPosition="0">
        <references count="3">
          <reference field="4294967294" count="1" selected="0">
            <x v="0"/>
          </reference>
          <reference field="0" count="1" selected="0">
            <x v="3"/>
          </reference>
          <reference field="16" count="1" selected="0">
            <x v="0"/>
          </reference>
        </references>
      </pivotArea>
    </chartFormat>
    <chartFormat chart="0" format="58">
      <pivotArea type="data" outline="0" fieldPosition="0">
        <references count="3">
          <reference field="4294967294" count="1" selected="0">
            <x v="0"/>
          </reference>
          <reference field="0" count="1" selected="0">
            <x v="4"/>
          </reference>
          <reference field="16" count="1" selected="0">
            <x v="0"/>
          </reference>
        </references>
      </pivotArea>
    </chartFormat>
    <chartFormat chart="0" format="59">
      <pivotArea type="data" outline="0" fieldPosition="0">
        <references count="3">
          <reference field="4294967294" count="1" selected="0">
            <x v="0"/>
          </reference>
          <reference field="0" count="1" selected="0">
            <x v="5"/>
          </reference>
          <reference field="16" count="1" selected="0">
            <x v="0"/>
          </reference>
        </references>
      </pivotArea>
    </chartFormat>
    <chartFormat chart="0" format="60">
      <pivotArea type="data" outline="0" fieldPosition="0">
        <references count="3">
          <reference field="4294967294" count="1" selected="0">
            <x v="0"/>
          </reference>
          <reference field="0" count="1" selected="0">
            <x v="6"/>
          </reference>
          <reference field="16" count="1" selected="0">
            <x v="0"/>
          </reference>
        </references>
      </pivotArea>
    </chartFormat>
    <chartFormat chart="0" format="61">
      <pivotArea type="data" outline="0" fieldPosition="0">
        <references count="3">
          <reference field="4294967294" count="1" selected="0">
            <x v="0"/>
          </reference>
          <reference field="0" count="1" selected="0">
            <x v="7"/>
          </reference>
          <reference field="16" count="1" selected="0">
            <x v="0"/>
          </reference>
        </references>
      </pivotArea>
    </chartFormat>
    <chartFormat chart="0" format="62">
      <pivotArea type="data" outline="0" fieldPosition="0">
        <references count="3">
          <reference field="4294967294" count="1" selected="0">
            <x v="0"/>
          </reference>
          <reference field="0" count="1" selected="0">
            <x v="8"/>
          </reference>
          <reference field="16" count="1" selected="0">
            <x v="0"/>
          </reference>
        </references>
      </pivotArea>
    </chartFormat>
    <chartFormat chart="0" format="63">
      <pivotArea type="data" outline="0" fieldPosition="0">
        <references count="3">
          <reference field="4294967294" count="1" selected="0">
            <x v="0"/>
          </reference>
          <reference field="0" count="1" selected="0">
            <x v="9"/>
          </reference>
          <reference field="16" count="1" selected="0">
            <x v="0"/>
          </reference>
        </references>
      </pivotArea>
    </chartFormat>
    <chartFormat chart="0" format="64">
      <pivotArea type="data" outline="0" fieldPosition="0">
        <references count="3">
          <reference field="4294967294" count="1" selected="0">
            <x v="0"/>
          </reference>
          <reference field="0" count="1" selected="0">
            <x v="11"/>
          </reference>
          <reference field="16" count="1" selected="0">
            <x v="0"/>
          </reference>
        </references>
      </pivotArea>
    </chartFormat>
    <chartFormat chart="0" format="65">
      <pivotArea type="data" outline="0" fieldPosition="0">
        <references count="3">
          <reference field="4294967294" count="1" selected="0">
            <x v="0"/>
          </reference>
          <reference field="0" count="1" selected="0">
            <x v="12"/>
          </reference>
          <reference field="16" count="1" selected="0">
            <x v="0"/>
          </reference>
        </references>
      </pivotArea>
    </chartFormat>
    <chartFormat chart="0" format="66">
      <pivotArea type="data" outline="0" fieldPosition="0">
        <references count="3">
          <reference field="4294967294" count="1" selected="0">
            <x v="0"/>
          </reference>
          <reference field="0" count="1" selected="0">
            <x v="13"/>
          </reference>
          <reference field="16" count="1" selected="0">
            <x v="0"/>
          </reference>
        </references>
      </pivotArea>
    </chartFormat>
    <chartFormat chart="0" format="67">
      <pivotArea type="data" outline="0" fieldPosition="0">
        <references count="3">
          <reference field="4294967294" count="1" selected="0">
            <x v="0"/>
          </reference>
          <reference field="0" count="1" selected="0">
            <x v="14"/>
          </reference>
          <reference field="16" count="1" selected="0">
            <x v="0"/>
          </reference>
        </references>
      </pivotArea>
    </chartFormat>
    <chartFormat chart="0" format="68">
      <pivotArea type="data" outline="0" fieldPosition="0">
        <references count="3">
          <reference field="4294967294" count="1" selected="0">
            <x v="0"/>
          </reference>
          <reference field="0" count="1" selected="0">
            <x v="15"/>
          </reference>
          <reference field="16" count="1" selected="0">
            <x v="0"/>
          </reference>
        </references>
      </pivotArea>
    </chartFormat>
    <chartFormat chart="0" format="69">
      <pivotArea type="data" outline="0" fieldPosition="0">
        <references count="3">
          <reference field="4294967294" count="1" selected="0">
            <x v="0"/>
          </reference>
          <reference field="0" count="1" selected="0">
            <x v="17"/>
          </reference>
          <reference field="16" count="1" selected="0">
            <x v="0"/>
          </reference>
        </references>
      </pivotArea>
    </chartFormat>
    <chartFormat chart="0" format="70">
      <pivotArea type="data" outline="0" fieldPosition="0">
        <references count="3">
          <reference field="4294967294" count="1" selected="0">
            <x v="0"/>
          </reference>
          <reference field="0" count="1" selected="0">
            <x v="18"/>
          </reference>
          <reference field="16" count="1" selected="0">
            <x v="0"/>
          </reference>
        </references>
      </pivotArea>
    </chartFormat>
    <chartFormat chart="0" format="74">
      <pivotArea type="data" outline="0" fieldPosition="0">
        <references count="3">
          <reference field="4294967294" count="1" selected="0">
            <x v="0"/>
          </reference>
          <reference field="0" count="1" selected="0">
            <x v="1"/>
          </reference>
          <reference field="16" count="1" selected="0">
            <x v="0"/>
          </reference>
        </references>
      </pivotArea>
    </chartFormat>
    <chartFormat chart="0" format="75">
      <pivotArea type="data" outline="0" fieldPosition="0">
        <references count="3">
          <reference field="4294967294" count="1" selected="0">
            <x v="0"/>
          </reference>
          <reference field="0" count="1" selected="0">
            <x v="10"/>
          </reference>
          <reference field="16" count="1" selected="0">
            <x v="0"/>
          </reference>
        </references>
      </pivotArea>
    </chartFormat>
    <chartFormat chart="0" format="76">
      <pivotArea type="data" outline="0" fieldPosition="0">
        <references count="3">
          <reference field="4294967294" count="1" selected="0">
            <x v="0"/>
          </reference>
          <reference field="0" count="1" selected="0">
            <x v="16"/>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B28787-8B3B-4DCA-A49C-F26D12AFE9D6}"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location ref="O105:P112" firstHeaderRow="1" firstDataRow="1" firstDataCol="1"/>
  <pivotFields count="17">
    <pivotField dataField="1"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countASubtotal="1">
      <items count="5">
        <item x="3"/>
        <item x="2"/>
        <item x="1"/>
        <item x="0"/>
        <item t="countA"/>
      </items>
    </pivotField>
    <pivotField showAll="0"/>
    <pivotField showAll="0"/>
    <pivotField showAll="0"/>
    <pivotField axis="axisRow"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6"/>
  </rowFields>
  <rowItems count="7">
    <i>
      <x/>
    </i>
    <i>
      <x v="1"/>
    </i>
    <i>
      <x v="2"/>
    </i>
    <i>
      <x v="3"/>
    </i>
    <i>
      <x v="4"/>
    </i>
    <i>
      <x v="5"/>
    </i>
    <i t="grand">
      <x/>
    </i>
  </rowItems>
  <colItems count="1">
    <i/>
  </colItems>
  <dataFields count="1">
    <dataField name="Count of Company" fld="0" subtotal="count" baseField="0" baseItem="0"/>
  </dataFields>
  <chartFormats count="21">
    <chartFormat chart="7" format="0"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6" count="1" selected="0">
            <x v="0"/>
          </reference>
        </references>
      </pivotArea>
    </chartFormat>
    <chartFormat chart="9" format="10">
      <pivotArea type="data" outline="0" fieldPosition="0">
        <references count="2">
          <reference field="4294967294" count="1" selected="0">
            <x v="0"/>
          </reference>
          <reference field="6" count="1" selected="0">
            <x v="1"/>
          </reference>
        </references>
      </pivotArea>
    </chartFormat>
    <chartFormat chart="9" format="11">
      <pivotArea type="data" outline="0" fieldPosition="0">
        <references count="2">
          <reference field="4294967294" count="1" selected="0">
            <x v="0"/>
          </reference>
          <reference field="6" count="1" selected="0">
            <x v="2"/>
          </reference>
        </references>
      </pivotArea>
    </chartFormat>
    <chartFormat chart="9" format="12">
      <pivotArea type="data" outline="0" fieldPosition="0">
        <references count="2">
          <reference field="4294967294" count="1" selected="0">
            <x v="0"/>
          </reference>
          <reference field="6" count="1" selected="0">
            <x v="3"/>
          </reference>
        </references>
      </pivotArea>
    </chartFormat>
    <chartFormat chart="9" format="13">
      <pivotArea type="data" outline="0" fieldPosition="0">
        <references count="2">
          <reference field="4294967294" count="1" selected="0">
            <x v="0"/>
          </reference>
          <reference field="6" count="1" selected="0">
            <x v="4"/>
          </reference>
        </references>
      </pivotArea>
    </chartFormat>
    <chartFormat chart="9" format="14">
      <pivotArea type="data" outline="0" fieldPosition="0">
        <references count="2">
          <reference field="4294967294" count="1" selected="0">
            <x v="0"/>
          </reference>
          <reference field="6" count="1" selected="0">
            <x v="5"/>
          </reference>
        </references>
      </pivotArea>
    </chartFormat>
    <chartFormat chart="14" format="22" series="1">
      <pivotArea type="data" outline="0" fieldPosition="0">
        <references count="1">
          <reference field="4294967294" count="1" selected="0">
            <x v="0"/>
          </reference>
        </references>
      </pivotArea>
    </chartFormat>
    <chartFormat chart="14" format="23">
      <pivotArea type="data" outline="0" fieldPosition="0">
        <references count="2">
          <reference field="4294967294" count="1" selected="0">
            <x v="0"/>
          </reference>
          <reference field="6" count="1" selected="0">
            <x v="0"/>
          </reference>
        </references>
      </pivotArea>
    </chartFormat>
    <chartFormat chart="14" format="24">
      <pivotArea type="data" outline="0" fieldPosition="0">
        <references count="2">
          <reference field="4294967294" count="1" selected="0">
            <x v="0"/>
          </reference>
          <reference field="6" count="1" selected="0">
            <x v="1"/>
          </reference>
        </references>
      </pivotArea>
    </chartFormat>
    <chartFormat chart="14" format="25">
      <pivotArea type="data" outline="0" fieldPosition="0">
        <references count="2">
          <reference field="4294967294" count="1" selected="0">
            <x v="0"/>
          </reference>
          <reference field="6" count="1" selected="0">
            <x v="2"/>
          </reference>
        </references>
      </pivotArea>
    </chartFormat>
    <chartFormat chart="14" format="26">
      <pivotArea type="data" outline="0" fieldPosition="0">
        <references count="2">
          <reference field="4294967294" count="1" selected="0">
            <x v="0"/>
          </reference>
          <reference field="6" count="1" selected="0">
            <x v="3"/>
          </reference>
        </references>
      </pivotArea>
    </chartFormat>
    <chartFormat chart="14" format="27">
      <pivotArea type="data" outline="0" fieldPosition="0">
        <references count="2">
          <reference field="4294967294" count="1" selected="0">
            <x v="0"/>
          </reference>
          <reference field="6" count="1" selected="0">
            <x v="4"/>
          </reference>
        </references>
      </pivotArea>
    </chartFormat>
    <chartFormat chart="14" format="28">
      <pivotArea type="data" outline="0" fieldPosition="0">
        <references count="2">
          <reference field="4294967294" count="1" selected="0">
            <x v="0"/>
          </reference>
          <reference field="6" count="1" selected="0">
            <x v="5"/>
          </reference>
        </references>
      </pivotArea>
    </chartFormat>
    <chartFormat chart="7" format="7">
      <pivotArea type="data" outline="0" fieldPosition="0">
        <references count="2">
          <reference field="4294967294" count="1" selected="0">
            <x v="0"/>
          </reference>
          <reference field="6" count="1" selected="0">
            <x v="0"/>
          </reference>
        </references>
      </pivotArea>
    </chartFormat>
    <chartFormat chart="7" format="8">
      <pivotArea type="data" outline="0" fieldPosition="0">
        <references count="2">
          <reference field="4294967294" count="1" selected="0">
            <x v="0"/>
          </reference>
          <reference field="6" count="1" selected="0">
            <x v="1"/>
          </reference>
        </references>
      </pivotArea>
    </chartFormat>
    <chartFormat chart="7" format="9">
      <pivotArea type="data" outline="0" fieldPosition="0">
        <references count="2">
          <reference field="4294967294" count="1" selected="0">
            <x v="0"/>
          </reference>
          <reference field="6" count="1" selected="0">
            <x v="2"/>
          </reference>
        </references>
      </pivotArea>
    </chartFormat>
    <chartFormat chart="7" format="10">
      <pivotArea type="data" outline="0" fieldPosition="0">
        <references count="2">
          <reference field="4294967294" count="1" selected="0">
            <x v="0"/>
          </reference>
          <reference field="6" count="1" selected="0">
            <x v="3"/>
          </reference>
        </references>
      </pivotArea>
    </chartFormat>
    <chartFormat chart="7" format="11">
      <pivotArea type="data" outline="0" fieldPosition="0">
        <references count="2">
          <reference field="4294967294" count="1" selected="0">
            <x v="0"/>
          </reference>
          <reference field="6" count="1" selected="0">
            <x v="4"/>
          </reference>
        </references>
      </pivotArea>
    </chartFormat>
    <chartFormat chart="7" format="12">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40437CC-4661-482F-BA9F-3404DD7AB649}"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2">
  <location ref="L7:M11" firstHeaderRow="1" firstDataRow="1" firstDataCol="1" rowPageCount="1" colPageCount="1"/>
  <pivotFields count="17">
    <pivotField dataField="1"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showAll="0"/>
    <pivotField showAll="0"/>
    <pivotField axis="axisPage" showAll="0">
      <items count="3">
        <item x="0"/>
        <item x="1"/>
        <item t="default"/>
      </items>
    </pivotField>
    <pivotField showAll="0"/>
    <pivotField showAll="0"/>
    <pivotField showAll="0"/>
    <pivotField showAll="0"/>
    <pivotField axis="axisRow" showAll="0">
      <items count="4">
        <item x="1"/>
        <item x="0"/>
        <item x="2"/>
        <item t="default"/>
      </items>
    </pivotField>
    <pivotField showAll="0">
      <items count="2">
        <item x="0"/>
        <item t="default"/>
      </items>
    </pivotField>
  </pivotFields>
  <rowFields count="1">
    <field x="15"/>
  </rowFields>
  <rowItems count="4">
    <i>
      <x/>
    </i>
    <i>
      <x v="1"/>
    </i>
    <i>
      <x v="2"/>
    </i>
    <i t="grand">
      <x/>
    </i>
  </rowItems>
  <colItems count="1">
    <i/>
  </colItems>
  <pageFields count="1">
    <pageField fld="10" item="1" hier="-1"/>
  </pageFields>
  <dataFields count="1">
    <dataField name="Count of Company" fld="0" subtotal="count" baseField="0" baseItem="0"/>
  </dataFields>
  <formats count="10">
    <format dxfId="17">
      <pivotArea type="all" dataOnly="0" outline="0" fieldPosition="0"/>
    </format>
    <format dxfId="16">
      <pivotArea outline="0" collapsedLevelsAreSubtotals="1" fieldPosition="0"/>
    </format>
    <format dxfId="15">
      <pivotArea field="0" type="button" dataOnly="0" labelOnly="1" outline="0"/>
    </format>
    <format dxfId="14">
      <pivotArea dataOnly="0" labelOnly="1" grandRow="1" outline="0" fieldPosition="0"/>
    </format>
    <format dxfId="13">
      <pivotArea dataOnly="0" labelOnly="1" outline="0" axis="axisValues" fieldPosition="0"/>
    </format>
    <format dxfId="12">
      <pivotArea type="all" dataOnly="0" outline="0" fieldPosition="0"/>
    </format>
    <format dxfId="11">
      <pivotArea outline="0" collapsedLevelsAreSubtotals="1" fieldPosition="0"/>
    </format>
    <format dxfId="10">
      <pivotArea field="0" type="button" dataOnly="0" labelOnly="1" outline="0"/>
    </format>
    <format dxfId="9">
      <pivotArea dataOnly="0" labelOnly="1" grandRow="1" outline="0" fieldPosition="0"/>
    </format>
    <format dxfId="8">
      <pivotArea dataOnly="0" labelOnly="1" outline="0" axis="axisValues" fieldPosition="0"/>
    </format>
  </formats>
  <chartFormats count="9">
    <chartFormat chart="0" format="44" series="1">
      <pivotArea type="data" outline="0" fieldPosition="0">
        <references count="1">
          <reference field="15" count="1" selected="0">
            <x v="1"/>
          </reference>
        </references>
      </pivotArea>
    </chartFormat>
    <chartFormat chart="0" format="45" series="1">
      <pivotArea type="data" outline="0" fieldPosition="0">
        <references count="1">
          <reference field="15" count="1" selected="0">
            <x v="2"/>
          </reference>
        </references>
      </pivotArea>
    </chartFormat>
    <chartFormat chart="0" format="46" series="1">
      <pivotArea type="data" outline="0" fieldPosition="0"/>
    </chartFormat>
    <chartFormat chart="0" format="48" series="1">
      <pivotArea type="data" outline="0" fieldPosition="0">
        <references count="2">
          <reference field="4294967294" count="1" selected="0">
            <x v="0"/>
          </reference>
          <reference field="15" count="1" selected="0">
            <x v="0"/>
          </reference>
        </references>
      </pivotArea>
    </chartFormat>
    <chartFormat chart="0" format="49" series="1">
      <pivotArea type="data" outline="0" fieldPosition="0">
        <references count="1">
          <reference field="4294967294" count="1" selected="0">
            <x v="0"/>
          </reference>
        </references>
      </pivotArea>
    </chartFormat>
    <chartFormat chart="5" format="51" series="1">
      <pivotArea type="data" outline="0" fieldPosition="0">
        <references count="1">
          <reference field="4294967294" count="1" selected="0">
            <x v="0"/>
          </reference>
        </references>
      </pivotArea>
    </chartFormat>
    <chartFormat chart="5" format="52">
      <pivotArea type="data" outline="0" fieldPosition="0">
        <references count="2">
          <reference field="4294967294" count="1" selected="0">
            <x v="0"/>
          </reference>
          <reference field="15" count="1" selected="0">
            <x v="2"/>
          </reference>
        </references>
      </pivotArea>
    </chartFormat>
    <chartFormat chart="5" format="53">
      <pivotArea type="data" outline="0" fieldPosition="0">
        <references count="2">
          <reference field="4294967294" count="1" selected="0">
            <x v="0"/>
          </reference>
          <reference field="15" count="1" selected="0">
            <x v="1"/>
          </reference>
        </references>
      </pivotArea>
    </chartFormat>
    <chartFormat chart="5" format="54">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91ADA1-275E-4D85-9761-52A349A7580E}"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Y95:Z102" firstHeaderRow="1" firstDataRow="1" firstDataCol="1"/>
  <pivotFields count="17">
    <pivotField showAll="0">
      <items count="20">
        <item x="6"/>
        <item x="16"/>
        <item x="3"/>
        <item x="18"/>
        <item x="10"/>
        <item x="11"/>
        <item x="2"/>
        <item x="0"/>
        <item x="15"/>
        <item x="12"/>
        <item x="9"/>
        <item x="14"/>
        <item x="5"/>
        <item x="8"/>
        <item x="1"/>
        <item x="17"/>
        <item x="13"/>
        <item x="4"/>
        <item x="7"/>
        <item t="default"/>
      </items>
    </pivotField>
    <pivotField dataField="1"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axis="axisRow" showAll="0">
      <items count="7">
        <item x="1"/>
        <item x="4"/>
        <item x="3"/>
        <item x="0"/>
        <item x="5"/>
        <item x="2"/>
        <item t="default"/>
      </items>
    </pivotField>
    <pivotField showAll="0"/>
    <pivotField showAll="0">
      <items count="9">
        <item x="2"/>
        <item x="5"/>
        <item x="0"/>
        <item x="1"/>
        <item x="7"/>
        <item x="6"/>
        <item x="4"/>
        <item x="3"/>
        <item t="default"/>
      </items>
    </pivotField>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6"/>
  </rowFields>
  <rowItems count="7">
    <i>
      <x/>
    </i>
    <i>
      <x v="1"/>
    </i>
    <i>
      <x v="2"/>
    </i>
    <i>
      <x v="3"/>
    </i>
    <i>
      <x v="4"/>
    </i>
    <i>
      <x v="5"/>
    </i>
    <i t="grand">
      <x/>
    </i>
  </rowItems>
  <colItems count="1">
    <i/>
  </colItems>
  <dataFields count="1">
    <dataField name="Count of Role" fld="1" subtotal="count" baseField="0" baseItem="0"/>
  </dataFields>
  <chartFormats count="4">
    <chartFormat chart="18"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9D3C7D-AE67-4FBD-B6D0-E93C03F0591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V1:X22" firstHeaderRow="0" firstDataRow="1"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dataField="1" showAll="0">
      <items count="7">
        <item x="1"/>
        <item x="4"/>
        <item x="3"/>
        <item x="0"/>
        <item x="5"/>
        <item x="2"/>
        <item t="default"/>
      </items>
    </pivotField>
    <pivotField showAll="0"/>
    <pivotField dataField="1" showAll="0"/>
    <pivotField showAll="0"/>
    <pivotField showAll="0"/>
    <pivotField showAll="0"/>
    <pivotField showAll="0"/>
    <pivotField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i>
    <i r="1">
      <x v="1"/>
    </i>
    <i r="1">
      <x v="2"/>
    </i>
    <i r="1">
      <x v="3"/>
    </i>
    <i r="1">
      <x v="4"/>
    </i>
    <i r="1">
      <x v="5"/>
    </i>
    <i r="1">
      <x v="6"/>
    </i>
    <i r="1">
      <x v="7"/>
    </i>
    <i r="1">
      <x v="8"/>
    </i>
    <i r="1">
      <x v="9"/>
    </i>
    <i r="1">
      <x v="10"/>
    </i>
    <i r="1">
      <x v="11"/>
    </i>
    <i r="1">
      <x v="12"/>
    </i>
    <i r="1">
      <x v="13"/>
    </i>
    <i r="1">
      <x v="14"/>
    </i>
    <i r="1">
      <x v="15"/>
    </i>
    <i r="1">
      <x v="16"/>
    </i>
    <i r="1">
      <x v="17"/>
    </i>
    <i r="1">
      <x v="18"/>
    </i>
    <i t="grand">
      <x/>
    </i>
  </rowItems>
  <colFields count="1">
    <field x="-2"/>
  </colFields>
  <colItems count="2">
    <i>
      <x/>
    </i>
    <i i="1">
      <x v="1"/>
    </i>
  </colItems>
  <dataFields count="2">
    <dataField name="Count of Skills" fld="8" subtotal="count" baseField="0" baseItem="0"/>
    <dataField name="Sum of Experience" fld="6"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DE0232-E22C-49ED-AC8F-ABFA5AB4508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M22:R44" firstHeaderRow="1" firstDataRow="2"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axis="axisCol" dataField="1"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i>
    <i r="1">
      <x v="1"/>
    </i>
    <i r="1">
      <x v="2"/>
    </i>
    <i r="1">
      <x v="3"/>
    </i>
    <i r="1">
      <x v="4"/>
    </i>
    <i r="1">
      <x v="5"/>
    </i>
    <i r="1">
      <x v="6"/>
    </i>
    <i r="1">
      <x v="7"/>
    </i>
    <i r="1">
      <x v="8"/>
    </i>
    <i r="1">
      <x v="9"/>
    </i>
    <i r="1">
      <x v="10"/>
    </i>
    <i r="1">
      <x v="11"/>
    </i>
    <i r="1">
      <x v="12"/>
    </i>
    <i r="1">
      <x v="13"/>
    </i>
    <i r="1">
      <x v="14"/>
    </i>
    <i r="1">
      <x v="15"/>
    </i>
    <i r="1">
      <x v="16"/>
    </i>
    <i r="1">
      <x v="17"/>
    </i>
    <i r="1">
      <x v="18"/>
    </i>
    <i t="grand">
      <x/>
    </i>
  </rowItems>
  <colFields count="1">
    <field x="2"/>
  </colFields>
  <colItems count="5">
    <i>
      <x/>
    </i>
    <i>
      <x v="1"/>
    </i>
    <i>
      <x v="2"/>
    </i>
    <i>
      <x v="3"/>
    </i>
    <i t="grand">
      <x/>
    </i>
  </colItems>
  <dataFields count="1">
    <dataField name="Count of Status" fld="2" subtotal="count" baseField="0" baseItem="0"/>
  </dataFields>
  <formats count="20">
    <format dxfId="37">
      <pivotArea type="all" dataOnly="0" outline="0" fieldPosition="0"/>
    </format>
    <format dxfId="36">
      <pivotArea outline="0" collapsedLevelsAreSubtotals="1" fieldPosition="0"/>
    </format>
    <format dxfId="35">
      <pivotArea type="origin" dataOnly="0" labelOnly="1" outline="0" fieldPosition="0"/>
    </format>
    <format dxfId="34">
      <pivotArea field="2" type="button" dataOnly="0" labelOnly="1" outline="0" axis="axisCol" fieldPosition="0"/>
    </format>
    <format dxfId="33">
      <pivotArea type="topRight" dataOnly="0" labelOnly="1" outline="0" fieldPosition="0"/>
    </format>
    <format dxfId="32">
      <pivotArea field="0" type="button" dataOnly="0" labelOnly="1" outline="0" axis="axisRow" fieldPosition="1"/>
    </format>
    <format dxfId="31">
      <pivotArea dataOnly="0" labelOnly="1" fieldPosition="0">
        <references count="1">
          <reference field="0" count="0"/>
        </references>
      </pivotArea>
    </format>
    <format dxfId="30">
      <pivotArea dataOnly="0" labelOnly="1" grandRow="1" outline="0" fieldPosition="0"/>
    </format>
    <format dxfId="29">
      <pivotArea dataOnly="0" labelOnly="1" fieldPosition="0">
        <references count="1">
          <reference field="2" count="0"/>
        </references>
      </pivotArea>
    </format>
    <format dxfId="28">
      <pivotArea dataOnly="0" labelOnly="1" grandCol="1" outline="0" fieldPosition="0"/>
    </format>
    <format dxfId="27">
      <pivotArea type="all" dataOnly="0" outline="0" fieldPosition="0"/>
    </format>
    <format dxfId="26">
      <pivotArea outline="0" collapsedLevelsAreSubtotals="1" fieldPosition="0"/>
    </format>
    <format dxfId="25">
      <pivotArea type="origin" dataOnly="0" labelOnly="1" outline="0" fieldPosition="0"/>
    </format>
    <format dxfId="24">
      <pivotArea field="2" type="button" dataOnly="0" labelOnly="1" outline="0" axis="axisCol" fieldPosition="0"/>
    </format>
    <format dxfId="23">
      <pivotArea type="topRight" dataOnly="0" labelOnly="1" outline="0" fieldPosition="0"/>
    </format>
    <format dxfId="22">
      <pivotArea field="0" type="button" dataOnly="0" labelOnly="1" outline="0" axis="axisRow" fieldPosition="1"/>
    </format>
    <format dxfId="21">
      <pivotArea dataOnly="0" labelOnly="1" fieldPosition="0">
        <references count="1">
          <reference field="0" count="0"/>
        </references>
      </pivotArea>
    </format>
    <format dxfId="20">
      <pivotArea dataOnly="0" labelOnly="1" grandRow="1" outline="0" fieldPosition="0"/>
    </format>
    <format dxfId="19">
      <pivotArea dataOnly="0" labelOnly="1" fieldPosition="0">
        <references count="1">
          <reference field="2" count="0"/>
        </references>
      </pivotArea>
    </format>
    <format dxfId="18">
      <pivotArea dataOnly="0" labelOnly="1" grandCol="1" outline="0" fieldPosition="0"/>
    </format>
  </formats>
  <chartFormats count="31">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1">
          <reference field="2" count="1" selected="0">
            <x v="2"/>
          </reference>
        </references>
      </pivotArea>
    </chartFormat>
    <chartFormat chart="0" format="3" series="1">
      <pivotArea type="data" outline="0" fieldPosition="0">
        <references count="1">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 chart="0" format="5" series="1">
      <pivotArea type="data" outline="0" fieldPosition="0">
        <references count="2">
          <reference field="4294967294" count="1" selected="0">
            <x v="0"/>
          </reference>
          <reference field="2" count="1" selected="0">
            <x v="1"/>
          </reference>
        </references>
      </pivotArea>
    </chartFormat>
    <chartFormat chart="0" format="6" series="1">
      <pivotArea type="data" outline="0" fieldPosition="0">
        <references count="2">
          <reference field="4294967294" count="1" selected="0">
            <x v="0"/>
          </reference>
          <reference field="2" count="1" selected="0">
            <x v="2"/>
          </reference>
        </references>
      </pivotArea>
    </chartFormat>
    <chartFormat chart="0" format="7" series="1">
      <pivotArea type="data" outline="0" fieldPosition="0">
        <references count="2">
          <reference field="4294967294" count="1" selected="0">
            <x v="0"/>
          </reference>
          <reference field="2" count="1" selected="0">
            <x v="3"/>
          </reference>
        </references>
      </pivotArea>
    </chartFormat>
    <chartFormat chart="10" format="8" series="1">
      <pivotArea type="data" outline="0" fieldPosition="0">
        <references count="2">
          <reference field="4294967294" count="1" selected="0">
            <x v="0"/>
          </reference>
          <reference field="2" count="1" selected="0">
            <x v="0"/>
          </reference>
        </references>
      </pivotArea>
    </chartFormat>
    <chartFormat chart="10" format="9" series="1">
      <pivotArea type="data" outline="0" fieldPosition="0">
        <references count="2">
          <reference field="4294967294" count="1" selected="0">
            <x v="0"/>
          </reference>
          <reference field="2" count="1" selected="0">
            <x v="1"/>
          </reference>
        </references>
      </pivotArea>
    </chartFormat>
    <chartFormat chart="10" format="10" series="1">
      <pivotArea type="data" outline="0" fieldPosition="0">
        <references count="2">
          <reference field="4294967294" count="1" selected="0">
            <x v="0"/>
          </reference>
          <reference field="2" count="1" selected="0">
            <x v="2"/>
          </reference>
        </references>
      </pivotArea>
    </chartFormat>
    <chartFormat chart="10" format="11" series="1">
      <pivotArea type="data" outline="0" fieldPosition="0">
        <references count="2">
          <reference field="4294967294" count="1" selected="0">
            <x v="0"/>
          </reference>
          <reference field="2" count="1" selected="0">
            <x v="3"/>
          </reference>
        </references>
      </pivotArea>
    </chartFormat>
    <chartFormat chart="14" format="8" series="1">
      <pivotArea type="data" outline="0" fieldPosition="0">
        <references count="2">
          <reference field="4294967294" count="1" selected="0">
            <x v="0"/>
          </reference>
          <reference field="2" count="1" selected="0">
            <x v="0"/>
          </reference>
        </references>
      </pivotArea>
    </chartFormat>
    <chartFormat chart="14" format="9" series="1">
      <pivotArea type="data" outline="0" fieldPosition="0">
        <references count="2">
          <reference field="4294967294" count="1" selected="0">
            <x v="0"/>
          </reference>
          <reference field="2" count="1" selected="0">
            <x v="1"/>
          </reference>
        </references>
      </pivotArea>
    </chartFormat>
    <chartFormat chart="14" format="10" series="1">
      <pivotArea type="data" outline="0" fieldPosition="0">
        <references count="2">
          <reference field="4294967294" count="1" selected="0">
            <x v="0"/>
          </reference>
          <reference field="2" count="1" selected="0">
            <x v="2"/>
          </reference>
        </references>
      </pivotArea>
    </chartFormat>
    <chartFormat chart="14" format="11" series="1">
      <pivotArea type="data" outline="0" fieldPosition="0">
        <references count="2">
          <reference field="4294967294" count="1" selected="0">
            <x v="0"/>
          </reference>
          <reference field="2" count="1" selected="0">
            <x v="3"/>
          </reference>
        </references>
      </pivotArea>
    </chartFormat>
    <chartFormat chart="17" format="12" series="1">
      <pivotArea type="data" outline="0" fieldPosition="0">
        <references count="2">
          <reference field="4294967294" count="1" selected="0">
            <x v="0"/>
          </reference>
          <reference field="2" count="1" selected="0">
            <x v="0"/>
          </reference>
        </references>
      </pivotArea>
    </chartFormat>
    <chartFormat chart="17" format="13" series="1">
      <pivotArea type="data" outline="0" fieldPosition="0">
        <references count="2">
          <reference field="4294967294" count="1" selected="0">
            <x v="0"/>
          </reference>
          <reference field="2" count="1" selected="0">
            <x v="1"/>
          </reference>
        </references>
      </pivotArea>
    </chartFormat>
    <chartFormat chart="17" format="14" series="1">
      <pivotArea type="data" outline="0" fieldPosition="0">
        <references count="2">
          <reference field="4294967294" count="1" selected="0">
            <x v="0"/>
          </reference>
          <reference field="2" count="1" selected="0">
            <x v="2"/>
          </reference>
        </references>
      </pivotArea>
    </chartFormat>
    <chartFormat chart="17" format="15" series="1">
      <pivotArea type="data" outline="0" fieldPosition="0">
        <references count="2">
          <reference field="4294967294" count="1" selected="0">
            <x v="0"/>
          </reference>
          <reference field="2" count="1" selected="0">
            <x v="3"/>
          </reference>
        </references>
      </pivotArea>
    </chartFormat>
    <chartFormat chart="47" format="20" series="1">
      <pivotArea type="data" outline="0" fieldPosition="0">
        <references count="2">
          <reference field="4294967294" count="1" selected="0">
            <x v="0"/>
          </reference>
          <reference field="2" count="1" selected="0">
            <x v="0"/>
          </reference>
        </references>
      </pivotArea>
    </chartFormat>
    <chartFormat chart="47" format="21" series="1">
      <pivotArea type="data" outline="0" fieldPosition="0">
        <references count="2">
          <reference field="4294967294" count="1" selected="0">
            <x v="0"/>
          </reference>
          <reference field="2" count="1" selected="0">
            <x v="1"/>
          </reference>
        </references>
      </pivotArea>
    </chartFormat>
    <chartFormat chart="47" format="22" series="1">
      <pivotArea type="data" outline="0" fieldPosition="0">
        <references count="2">
          <reference field="4294967294" count="1" selected="0">
            <x v="0"/>
          </reference>
          <reference field="2" count="1" selected="0">
            <x v="2"/>
          </reference>
        </references>
      </pivotArea>
    </chartFormat>
    <chartFormat chart="47" format="23" series="1">
      <pivotArea type="data" outline="0" fieldPosition="0">
        <references count="2">
          <reference field="4294967294" count="1" selected="0">
            <x v="0"/>
          </reference>
          <reference field="2" count="1" selected="0">
            <x v="3"/>
          </reference>
        </references>
      </pivotArea>
    </chartFormat>
    <chartFormat chart="49" format="28" series="1">
      <pivotArea type="data" outline="0" fieldPosition="0">
        <references count="2">
          <reference field="4294967294" count="1" selected="0">
            <x v="0"/>
          </reference>
          <reference field="2" count="1" selected="0">
            <x v="0"/>
          </reference>
        </references>
      </pivotArea>
    </chartFormat>
    <chartFormat chart="49" format="29" series="1">
      <pivotArea type="data" outline="0" fieldPosition="0">
        <references count="2">
          <reference field="4294967294" count="1" selected="0">
            <x v="0"/>
          </reference>
          <reference field="2" count="1" selected="0">
            <x v="1"/>
          </reference>
        </references>
      </pivotArea>
    </chartFormat>
    <chartFormat chart="49" format="30" series="1">
      <pivotArea type="data" outline="0" fieldPosition="0">
        <references count="2">
          <reference field="4294967294" count="1" selected="0">
            <x v="0"/>
          </reference>
          <reference field="2" count="1" selected="0">
            <x v="2"/>
          </reference>
        </references>
      </pivotArea>
    </chartFormat>
    <chartFormat chart="49" format="31" series="1">
      <pivotArea type="data" outline="0" fieldPosition="0">
        <references count="2">
          <reference field="4294967294" count="1" selected="0">
            <x v="0"/>
          </reference>
          <reference field="2" count="1" selected="0">
            <x v="3"/>
          </reference>
        </references>
      </pivotArea>
    </chartFormat>
    <chartFormat chart="0" format="10" series="1">
      <pivotArea type="data" outline="0" fieldPosition="0">
        <references count="1">
          <reference field="4294967294" count="1" selected="0">
            <x v="0"/>
          </reference>
        </references>
      </pivotArea>
    </chartFormat>
    <chartFormat chart="47" format="24" series="1">
      <pivotArea type="data" outline="0" fieldPosition="0">
        <references count="1">
          <reference field="4294967294" count="1" selected="0">
            <x v="0"/>
          </reference>
        </references>
      </pivotArea>
    </chartFormat>
    <chartFormat chart="17"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A5892E-E86D-4029-97C4-B6FF0D63D37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54:B75" firstHeaderRow="1" firstDataRow="1" firstDataCol="1"/>
  <pivotFields count="17">
    <pivotField axis="axisRow" showAll="0" sortType="descending">
      <items count="20">
        <item x="6"/>
        <item x="16"/>
        <item x="3"/>
        <item x="18"/>
        <item x="10"/>
        <item x="11"/>
        <item x="2"/>
        <item x="0"/>
        <item x="15"/>
        <item x="12"/>
        <item x="9"/>
        <item x="14"/>
        <item x="5"/>
        <item x="8"/>
        <item x="1"/>
        <item x="17"/>
        <item x="13"/>
        <item x="4"/>
        <item x="7"/>
        <item t="default"/>
      </items>
      <autoSortScope>
        <pivotArea dataOnly="0" outline="0" fieldPosition="0">
          <references count="1">
            <reference field="4294967294" count="1" selected="0">
              <x v="0"/>
            </reference>
          </references>
        </pivotArea>
      </autoSortScope>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dataField="1"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v="7"/>
    </i>
    <i r="1">
      <x v="18"/>
    </i>
    <i r="1">
      <x v="2"/>
    </i>
    <i r="1">
      <x v="14"/>
    </i>
    <i r="1">
      <x v="6"/>
    </i>
    <i r="1">
      <x v="4"/>
    </i>
    <i r="1">
      <x v="17"/>
    </i>
    <i r="1">
      <x v="15"/>
    </i>
    <i r="1">
      <x v="12"/>
    </i>
    <i r="1">
      <x v="13"/>
    </i>
    <i r="1">
      <x v="11"/>
    </i>
    <i r="1">
      <x v="9"/>
    </i>
    <i r="1">
      <x v="10"/>
    </i>
    <i r="1">
      <x v="16"/>
    </i>
    <i r="1">
      <x v="3"/>
    </i>
    <i r="1">
      <x v="8"/>
    </i>
    <i r="1">
      <x/>
    </i>
    <i r="1">
      <x v="5"/>
    </i>
    <i r="1">
      <x v="1"/>
    </i>
    <i t="grand">
      <x/>
    </i>
  </rowItems>
  <colItems count="1">
    <i/>
  </colItems>
  <dataFields count="1">
    <dataField name="Sum of Experience" fld="6"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3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52F760-1147-4C00-B80E-0EF3C88C282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Y80:Z89" firstHeaderRow="1" firstDataRow="1" firstDataCol="1"/>
  <pivotFields count="17">
    <pivotField dataField="1"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axis="axisRow" showAll="0">
      <items count="9">
        <item x="2"/>
        <item x="5"/>
        <item x="0"/>
        <item x="1"/>
        <item x="7"/>
        <item x="6"/>
        <item x="4"/>
        <item x="3"/>
        <item t="default"/>
      </items>
    </pivotField>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8"/>
  </rowFields>
  <rowItems count="9">
    <i>
      <x/>
    </i>
    <i>
      <x v="1"/>
    </i>
    <i>
      <x v="2"/>
    </i>
    <i>
      <x v="3"/>
    </i>
    <i>
      <x v="4"/>
    </i>
    <i>
      <x v="5"/>
    </i>
    <i>
      <x v="6"/>
    </i>
    <i>
      <x v="7"/>
    </i>
    <i t="grand">
      <x/>
    </i>
  </rowItems>
  <colItems count="1">
    <i/>
  </colItems>
  <dataFields count="1">
    <dataField name="Count of Company" fld="0" subtotal="count" baseField="0" baseItem="0"/>
  </dataFields>
  <chartFormats count="3">
    <chartFormat chart="15" format="3"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43624C-444B-4421-BA0D-32FD2BF0F71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1:B49" firstHeaderRow="1" firstDataRow="1" firstDataCol="1"/>
  <pivotFields count="17">
    <pivotField dataField="1"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axis="axisRow" showAll="0">
      <items count="8">
        <item x="5"/>
        <item x="6"/>
        <item x="4"/>
        <item x="2"/>
        <item x="0"/>
        <item x="1"/>
        <item x="3"/>
        <item t="default"/>
      </items>
    </pivotField>
    <pivotField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4"/>
  </rowFields>
  <rowItems count="8">
    <i>
      <x/>
    </i>
    <i>
      <x v="1"/>
    </i>
    <i>
      <x v="2"/>
    </i>
    <i>
      <x v="3"/>
    </i>
    <i>
      <x v="4"/>
    </i>
    <i>
      <x v="5"/>
    </i>
    <i>
      <x v="6"/>
    </i>
    <i t="grand">
      <x/>
    </i>
  </rowItems>
  <colItems count="1">
    <i/>
  </colItems>
  <dataFields count="1">
    <dataField name="Count of Company" fld="0" subtotal="count" baseField="0" baseItem="0"/>
  </dataFields>
  <formats count="12">
    <format dxfId="49">
      <pivotArea type="all" dataOnly="0" outline="0" fieldPosition="0"/>
    </format>
    <format dxfId="48">
      <pivotArea outline="0" collapsedLevelsAreSubtotals="1" fieldPosition="0"/>
    </format>
    <format dxfId="47">
      <pivotArea field="4" type="button" dataOnly="0" labelOnly="1" outline="0" axis="axisRow" fieldPosition="0"/>
    </format>
    <format dxfId="46">
      <pivotArea dataOnly="0" labelOnly="1" fieldPosition="0">
        <references count="1">
          <reference field="4" count="0"/>
        </references>
      </pivotArea>
    </format>
    <format dxfId="45">
      <pivotArea dataOnly="0" labelOnly="1" grandRow="1" outline="0" fieldPosition="0"/>
    </format>
    <format dxfId="44">
      <pivotArea dataOnly="0" labelOnly="1" outline="0" axis="axisValues" fieldPosition="0"/>
    </format>
    <format dxfId="43">
      <pivotArea type="all" dataOnly="0" outline="0" fieldPosition="0"/>
    </format>
    <format dxfId="42">
      <pivotArea outline="0" collapsedLevelsAreSubtotals="1" fieldPosition="0"/>
    </format>
    <format dxfId="41">
      <pivotArea field="4" type="button" dataOnly="0" labelOnly="1" outline="0" axis="axisRow" fieldPosition="0"/>
    </format>
    <format dxfId="40">
      <pivotArea dataOnly="0" labelOnly="1" fieldPosition="0">
        <references count="1">
          <reference field="4" count="0"/>
        </references>
      </pivotArea>
    </format>
    <format dxfId="39">
      <pivotArea dataOnly="0" labelOnly="1" grandRow="1" outline="0" fieldPosition="0"/>
    </format>
    <format dxfId="38">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1062A38-31D2-4807-AF0C-92F097BCA58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A18:AB39" firstHeaderRow="1" firstDataRow="1"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showAll="0"/>
    <pivotField showAll="0"/>
    <pivotField showAll="0"/>
    <pivotField dataField="1" showAll="0"/>
    <pivotField showAll="0"/>
    <pivotField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i>
    <i r="1">
      <x v="1"/>
    </i>
    <i r="1">
      <x v="2"/>
    </i>
    <i r="1">
      <x v="3"/>
    </i>
    <i r="1">
      <x v="4"/>
    </i>
    <i r="1">
      <x v="5"/>
    </i>
    <i r="1">
      <x v="6"/>
    </i>
    <i r="1">
      <x v="7"/>
    </i>
    <i r="1">
      <x v="8"/>
    </i>
    <i r="1">
      <x v="9"/>
    </i>
    <i r="1">
      <x v="10"/>
    </i>
    <i r="1">
      <x v="11"/>
    </i>
    <i r="1">
      <x v="12"/>
    </i>
    <i r="1">
      <x v="13"/>
    </i>
    <i r="1">
      <x v="14"/>
    </i>
    <i r="1">
      <x v="15"/>
    </i>
    <i r="1">
      <x v="16"/>
    </i>
    <i r="1">
      <x v="17"/>
    </i>
    <i r="1">
      <x v="18"/>
    </i>
    <i t="grand">
      <x/>
    </i>
  </rowItems>
  <colItems count="1">
    <i/>
  </colItems>
  <dataFields count="1">
    <dataField name="Sum of Notice Period"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5D8BDE-FDD1-4A95-97D8-8152E0F316EB}"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L48:M122" firstHeaderRow="1" firstDataRow="1" firstDataCol="1"/>
  <pivotFields count="17">
    <pivotField dataField="1"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axis="axisRow"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3"/>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Items count="1">
    <i/>
  </colItems>
  <dataFields count="1">
    <dataField name="Count of Company" fld="0" subtotal="count" baseField="0" baseItem="0"/>
  </dataFields>
  <chartFormats count="1">
    <chartFormat chart="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7487AFC-8F12-4595-838F-E574DD1D4F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X40:Z61" firstHeaderRow="0" firstDataRow="1"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showAll="0"/>
    <pivotField showAll="0"/>
    <pivotField showAll="0"/>
    <pivotField showAll="0"/>
    <pivotField dataField="1" showAll="0"/>
    <pivotField dataField="1" showAll="0"/>
    <pivotField showAll="0"/>
    <pivotField showAll="0">
      <items count="4">
        <item x="1"/>
        <item x="0"/>
        <item x="2"/>
        <item t="default"/>
      </items>
    </pivotField>
    <pivotField axis="axisRow" showAll="0">
      <items count="2">
        <item x="0"/>
        <item t="default"/>
      </items>
    </pivotField>
  </pivotFields>
  <rowFields count="2">
    <field x="16"/>
    <field x="0"/>
  </rowFields>
  <rowItems count="21">
    <i>
      <x/>
    </i>
    <i r="1">
      <x/>
    </i>
    <i r="1">
      <x v="1"/>
    </i>
    <i r="1">
      <x v="2"/>
    </i>
    <i r="1">
      <x v="3"/>
    </i>
    <i r="1">
      <x v="4"/>
    </i>
    <i r="1">
      <x v="5"/>
    </i>
    <i r="1">
      <x v="6"/>
    </i>
    <i r="1">
      <x v="7"/>
    </i>
    <i r="1">
      <x v="8"/>
    </i>
    <i r="1">
      <x v="9"/>
    </i>
    <i r="1">
      <x v="10"/>
    </i>
    <i r="1">
      <x v="11"/>
    </i>
    <i r="1">
      <x v="12"/>
    </i>
    <i r="1">
      <x v="13"/>
    </i>
    <i r="1">
      <x v="14"/>
    </i>
    <i r="1">
      <x v="15"/>
    </i>
    <i r="1">
      <x v="16"/>
    </i>
    <i r="1">
      <x v="17"/>
    </i>
    <i r="1">
      <x v="18"/>
    </i>
    <i t="grand">
      <x/>
    </i>
  </rowItems>
  <colFields count="1">
    <field x="-2"/>
  </colFields>
  <colItems count="2">
    <i>
      <x/>
    </i>
    <i i="1">
      <x v="1"/>
    </i>
  </colItems>
  <dataFields count="2">
    <dataField name="Sum of Current CTC" fld="12" baseField="0" baseItem="0"/>
    <dataField name="Sum of Expected CTC" fld="13" baseField="0" baseItem="0"/>
  </dataFields>
  <chartFormats count="2">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44FE4F4-A56E-484D-B2DB-D26CA8A69F79}"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O84:P104" firstHeaderRow="1" firstDataRow="1" firstDataCol="1"/>
  <pivotFields count="17">
    <pivotField axis="axisRow" showAll="0" sortType="descending">
      <items count="20">
        <item x="6"/>
        <item x="16"/>
        <item x="3"/>
        <item x="18"/>
        <item x="10"/>
        <item x="11"/>
        <item x="2"/>
        <item x="0"/>
        <item x="15"/>
        <item x="12"/>
        <item x="9"/>
        <item x="14"/>
        <item x="5"/>
        <item x="8"/>
        <item x="1"/>
        <item x="17"/>
        <item x="13"/>
        <item x="4"/>
        <item x="7"/>
        <item t="default"/>
      </items>
      <autoSortScope>
        <pivotArea dataOnly="0" outline="0" fieldPosition="0">
          <references count="1">
            <reference field="4294967294" count="1" selected="0">
              <x v="0"/>
            </reference>
          </references>
        </pivotArea>
      </autoSortScope>
    </pivotField>
    <pivotField showAll="0">
      <items count="9">
        <item x="0"/>
        <item x="7"/>
        <item x="5"/>
        <item x="4"/>
        <item x="1"/>
        <item x="6"/>
        <item x="2"/>
        <item x="3"/>
        <item t="default"/>
      </items>
    </pivotField>
    <pivotField dataField="1" showAll="0" countASubtotal="1">
      <items count="5">
        <item x="3"/>
        <item x="2"/>
        <item x="1"/>
        <item x="0"/>
        <item t="countA"/>
      </items>
    </pivotField>
    <pivotField showAll="0"/>
    <pivotField showAll="0"/>
    <pivotField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0"/>
  </rowFields>
  <rowItems count="20">
    <i>
      <x v="2"/>
    </i>
    <i>
      <x v="18"/>
    </i>
    <i>
      <x v="6"/>
    </i>
    <i>
      <x v="14"/>
    </i>
    <i>
      <x v="4"/>
    </i>
    <i>
      <x v="7"/>
    </i>
    <i>
      <x v="17"/>
    </i>
    <i>
      <x v="13"/>
    </i>
    <i>
      <x v="11"/>
    </i>
    <i>
      <x v="12"/>
    </i>
    <i>
      <x/>
    </i>
    <i>
      <x v="15"/>
    </i>
    <i>
      <x v="9"/>
    </i>
    <i>
      <x v="16"/>
    </i>
    <i>
      <x v="8"/>
    </i>
    <i>
      <x v="5"/>
    </i>
    <i>
      <x v="10"/>
    </i>
    <i>
      <x v="1"/>
    </i>
    <i>
      <x v="3"/>
    </i>
    <i t="grand">
      <x/>
    </i>
  </rowItems>
  <colItems count="1">
    <i/>
  </colItems>
  <dataFields count="1">
    <dataField name="Count of Status" fld="2" subtotal="count" baseField="0" baseItem="0"/>
  </dataFields>
  <chartFormats count="2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2"/>
          </reference>
        </references>
      </pivotArea>
    </chartFormat>
    <chartFormat chart="4" format="4">
      <pivotArea type="data" outline="0" fieldPosition="0">
        <references count="2">
          <reference field="4294967294" count="1" selected="0">
            <x v="0"/>
          </reference>
          <reference field="0" count="1" selected="0">
            <x v="18"/>
          </reference>
        </references>
      </pivotArea>
    </chartFormat>
    <chartFormat chart="4" format="5">
      <pivotArea type="data" outline="0" fieldPosition="0">
        <references count="2">
          <reference field="4294967294" count="1" selected="0">
            <x v="0"/>
          </reference>
          <reference field="0" count="1" selected="0">
            <x v="6"/>
          </reference>
        </references>
      </pivotArea>
    </chartFormat>
    <chartFormat chart="4" format="6">
      <pivotArea type="data" outline="0" fieldPosition="0">
        <references count="2">
          <reference field="4294967294" count="1" selected="0">
            <x v="0"/>
          </reference>
          <reference field="0" count="1" selected="0">
            <x v="14"/>
          </reference>
        </references>
      </pivotArea>
    </chartFormat>
    <chartFormat chart="4" format="7">
      <pivotArea type="data" outline="0" fieldPosition="0">
        <references count="2">
          <reference field="4294967294" count="1" selected="0">
            <x v="0"/>
          </reference>
          <reference field="0" count="1" selected="0">
            <x v="4"/>
          </reference>
        </references>
      </pivotArea>
    </chartFormat>
    <chartFormat chart="4" format="8">
      <pivotArea type="data" outline="0" fieldPosition="0">
        <references count="2">
          <reference field="4294967294" count="1" selected="0">
            <x v="0"/>
          </reference>
          <reference field="0" count="1" selected="0">
            <x v="7"/>
          </reference>
        </references>
      </pivotArea>
    </chartFormat>
    <chartFormat chart="4" format="9">
      <pivotArea type="data" outline="0" fieldPosition="0">
        <references count="2">
          <reference field="4294967294" count="1" selected="0">
            <x v="0"/>
          </reference>
          <reference field="0" count="1" selected="0">
            <x v="17"/>
          </reference>
        </references>
      </pivotArea>
    </chartFormat>
    <chartFormat chart="4" format="10">
      <pivotArea type="data" outline="0" fieldPosition="0">
        <references count="2">
          <reference field="4294967294" count="1" selected="0">
            <x v="0"/>
          </reference>
          <reference field="0" count="1" selected="0">
            <x v="13"/>
          </reference>
        </references>
      </pivotArea>
    </chartFormat>
    <chartFormat chart="4" format="11">
      <pivotArea type="data" outline="0" fieldPosition="0">
        <references count="2">
          <reference field="4294967294" count="1" selected="0">
            <x v="0"/>
          </reference>
          <reference field="0" count="1" selected="0">
            <x v="11"/>
          </reference>
        </references>
      </pivotArea>
    </chartFormat>
    <chartFormat chart="4" format="12">
      <pivotArea type="data" outline="0" fieldPosition="0">
        <references count="2">
          <reference field="4294967294" count="1" selected="0">
            <x v="0"/>
          </reference>
          <reference field="0" count="1" selected="0">
            <x v="12"/>
          </reference>
        </references>
      </pivotArea>
    </chartFormat>
    <chartFormat chart="4" format="13">
      <pivotArea type="data" outline="0" fieldPosition="0">
        <references count="2">
          <reference field="4294967294" count="1" selected="0">
            <x v="0"/>
          </reference>
          <reference field="0" count="1" selected="0">
            <x v="0"/>
          </reference>
        </references>
      </pivotArea>
    </chartFormat>
    <chartFormat chart="4" format="14">
      <pivotArea type="data" outline="0" fieldPosition="0">
        <references count="2">
          <reference field="4294967294" count="1" selected="0">
            <x v="0"/>
          </reference>
          <reference field="0" count="1" selected="0">
            <x v="15"/>
          </reference>
        </references>
      </pivotArea>
    </chartFormat>
    <chartFormat chart="4" format="15">
      <pivotArea type="data" outline="0" fieldPosition="0">
        <references count="2">
          <reference field="4294967294" count="1" selected="0">
            <x v="0"/>
          </reference>
          <reference field="0" count="1" selected="0">
            <x v="9"/>
          </reference>
        </references>
      </pivotArea>
    </chartFormat>
    <chartFormat chart="4" format="16">
      <pivotArea type="data" outline="0" fieldPosition="0">
        <references count="2">
          <reference field="4294967294" count="1" selected="0">
            <x v="0"/>
          </reference>
          <reference field="0" count="1" selected="0">
            <x v="16"/>
          </reference>
        </references>
      </pivotArea>
    </chartFormat>
    <chartFormat chart="4" format="17">
      <pivotArea type="data" outline="0" fieldPosition="0">
        <references count="2">
          <reference field="4294967294" count="1" selected="0">
            <x v="0"/>
          </reference>
          <reference field="0" count="1" selected="0">
            <x v="8"/>
          </reference>
        </references>
      </pivotArea>
    </chartFormat>
    <chartFormat chart="4" format="18">
      <pivotArea type="data" outline="0" fieldPosition="0">
        <references count="2">
          <reference field="4294967294" count="1" selected="0">
            <x v="0"/>
          </reference>
          <reference field="0" count="1" selected="0">
            <x v="5"/>
          </reference>
        </references>
      </pivotArea>
    </chartFormat>
    <chartFormat chart="4" format="19">
      <pivotArea type="data" outline="0" fieldPosition="0">
        <references count="2">
          <reference field="4294967294" count="1" selected="0">
            <x v="0"/>
          </reference>
          <reference field="0" count="1" selected="0">
            <x v="10"/>
          </reference>
        </references>
      </pivotArea>
    </chartFormat>
    <chartFormat chart="4" format="20">
      <pivotArea type="data" outline="0" fieldPosition="0">
        <references count="2">
          <reference field="4294967294" count="1" selected="0">
            <x v="0"/>
          </reference>
          <reference field="0" count="1" selected="0">
            <x v="1"/>
          </reference>
        </references>
      </pivotArea>
    </chartFormat>
    <chartFormat chart="4" format="2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DFC71BE-DC48-433A-A549-882C60F485E2}"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98:B118" firstHeaderRow="1" firstDataRow="1" firstDataCol="1"/>
  <pivotFields count="17">
    <pivotField axis="axisRow" showAll="0">
      <items count="20">
        <item x="6"/>
        <item x="16"/>
        <item x="3"/>
        <item x="18"/>
        <item x="10"/>
        <item x="11"/>
        <item x="2"/>
        <item x="0"/>
        <item x="15"/>
        <item x="12"/>
        <item x="9"/>
        <item x="14"/>
        <item x="5"/>
        <item x="8"/>
        <item x="1"/>
        <item x="17"/>
        <item x="13"/>
        <item x="4"/>
        <item x="7"/>
        <item t="default"/>
      </items>
    </pivotField>
    <pivotField showAll="0">
      <items count="9">
        <item x="0"/>
        <item x="7"/>
        <item x="5"/>
        <item x="4"/>
        <item x="1"/>
        <item x="6"/>
        <item x="2"/>
        <item x="3"/>
        <item t="default"/>
      </items>
    </pivotField>
    <pivotField showAll="0">
      <items count="5">
        <item x="3"/>
        <item x="2"/>
        <item x="1"/>
        <item x="0"/>
        <item t="default"/>
      </items>
    </pivotField>
    <pivotField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showAll="0"/>
    <pivotField dataField="1"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alary" fld="5" baseField="0" baseItem="0" numFmtId="3"/>
  </dataFields>
  <formats count="1">
    <format dxfId="50">
      <pivotArea outline="0" collapsedLevelsAreSubtotals="1" fieldPosition="0"/>
    </format>
  </formats>
  <chartFormats count="40">
    <chartFormat chart="9" format="0" series="1">
      <pivotArea type="data" outline="0" fieldPosition="0">
        <references count="1">
          <reference field="4294967294" count="1" selected="0">
            <x v="0"/>
          </reference>
        </references>
      </pivotArea>
    </chartFormat>
    <chartFormat chart="11" format="21" series="1">
      <pivotArea type="data" outline="0" fieldPosition="0">
        <references count="1">
          <reference field="4294967294" count="1" selected="0">
            <x v="0"/>
          </reference>
        </references>
      </pivotArea>
    </chartFormat>
    <chartFormat chart="11" format="22">
      <pivotArea type="data" outline="0" fieldPosition="0">
        <references count="2">
          <reference field="4294967294" count="1" selected="0">
            <x v="0"/>
          </reference>
          <reference field="0" count="1" selected="0">
            <x v="0"/>
          </reference>
        </references>
      </pivotArea>
    </chartFormat>
    <chartFormat chart="11" format="23">
      <pivotArea type="data" outline="0" fieldPosition="0">
        <references count="2">
          <reference field="4294967294" count="1" selected="0">
            <x v="0"/>
          </reference>
          <reference field="0" count="1" selected="0">
            <x v="1"/>
          </reference>
        </references>
      </pivotArea>
    </chartFormat>
    <chartFormat chart="11" format="24">
      <pivotArea type="data" outline="0" fieldPosition="0">
        <references count="2">
          <reference field="4294967294" count="1" selected="0">
            <x v="0"/>
          </reference>
          <reference field="0" count="1" selected="0">
            <x v="2"/>
          </reference>
        </references>
      </pivotArea>
    </chartFormat>
    <chartFormat chart="11" format="25">
      <pivotArea type="data" outline="0" fieldPosition="0">
        <references count="2">
          <reference field="4294967294" count="1" selected="0">
            <x v="0"/>
          </reference>
          <reference field="0" count="1" selected="0">
            <x v="3"/>
          </reference>
        </references>
      </pivotArea>
    </chartFormat>
    <chartFormat chart="11" format="26">
      <pivotArea type="data" outline="0" fieldPosition="0">
        <references count="2">
          <reference field="4294967294" count="1" selected="0">
            <x v="0"/>
          </reference>
          <reference field="0" count="1" selected="0">
            <x v="4"/>
          </reference>
        </references>
      </pivotArea>
    </chartFormat>
    <chartFormat chart="11" format="27">
      <pivotArea type="data" outline="0" fieldPosition="0">
        <references count="2">
          <reference field="4294967294" count="1" selected="0">
            <x v="0"/>
          </reference>
          <reference field="0" count="1" selected="0">
            <x v="5"/>
          </reference>
        </references>
      </pivotArea>
    </chartFormat>
    <chartFormat chart="11" format="28">
      <pivotArea type="data" outline="0" fieldPosition="0">
        <references count="2">
          <reference field="4294967294" count="1" selected="0">
            <x v="0"/>
          </reference>
          <reference field="0" count="1" selected="0">
            <x v="6"/>
          </reference>
        </references>
      </pivotArea>
    </chartFormat>
    <chartFormat chart="11" format="29">
      <pivotArea type="data" outline="0" fieldPosition="0">
        <references count="2">
          <reference field="4294967294" count="1" selected="0">
            <x v="0"/>
          </reference>
          <reference field="0" count="1" selected="0">
            <x v="7"/>
          </reference>
        </references>
      </pivotArea>
    </chartFormat>
    <chartFormat chart="11" format="30">
      <pivotArea type="data" outline="0" fieldPosition="0">
        <references count="2">
          <reference field="4294967294" count="1" selected="0">
            <x v="0"/>
          </reference>
          <reference field="0" count="1" selected="0">
            <x v="8"/>
          </reference>
        </references>
      </pivotArea>
    </chartFormat>
    <chartFormat chart="11" format="31">
      <pivotArea type="data" outline="0" fieldPosition="0">
        <references count="2">
          <reference field="4294967294" count="1" selected="0">
            <x v="0"/>
          </reference>
          <reference field="0" count="1" selected="0">
            <x v="9"/>
          </reference>
        </references>
      </pivotArea>
    </chartFormat>
    <chartFormat chart="11" format="32">
      <pivotArea type="data" outline="0" fieldPosition="0">
        <references count="2">
          <reference field="4294967294" count="1" selected="0">
            <x v="0"/>
          </reference>
          <reference field="0" count="1" selected="0">
            <x v="10"/>
          </reference>
        </references>
      </pivotArea>
    </chartFormat>
    <chartFormat chart="11" format="33">
      <pivotArea type="data" outline="0" fieldPosition="0">
        <references count="2">
          <reference field="4294967294" count="1" selected="0">
            <x v="0"/>
          </reference>
          <reference field="0" count="1" selected="0">
            <x v="11"/>
          </reference>
        </references>
      </pivotArea>
    </chartFormat>
    <chartFormat chart="11" format="34">
      <pivotArea type="data" outline="0" fieldPosition="0">
        <references count="2">
          <reference field="4294967294" count="1" selected="0">
            <x v="0"/>
          </reference>
          <reference field="0" count="1" selected="0">
            <x v="12"/>
          </reference>
        </references>
      </pivotArea>
    </chartFormat>
    <chartFormat chart="11" format="35">
      <pivotArea type="data" outline="0" fieldPosition="0">
        <references count="2">
          <reference field="4294967294" count="1" selected="0">
            <x v="0"/>
          </reference>
          <reference field="0" count="1" selected="0">
            <x v="13"/>
          </reference>
        </references>
      </pivotArea>
    </chartFormat>
    <chartFormat chart="11" format="36">
      <pivotArea type="data" outline="0" fieldPosition="0">
        <references count="2">
          <reference field="4294967294" count="1" selected="0">
            <x v="0"/>
          </reference>
          <reference field="0" count="1" selected="0">
            <x v="14"/>
          </reference>
        </references>
      </pivotArea>
    </chartFormat>
    <chartFormat chart="11" format="37">
      <pivotArea type="data" outline="0" fieldPosition="0">
        <references count="2">
          <reference field="4294967294" count="1" selected="0">
            <x v="0"/>
          </reference>
          <reference field="0" count="1" selected="0">
            <x v="15"/>
          </reference>
        </references>
      </pivotArea>
    </chartFormat>
    <chartFormat chart="11" format="38">
      <pivotArea type="data" outline="0" fieldPosition="0">
        <references count="2">
          <reference field="4294967294" count="1" selected="0">
            <x v="0"/>
          </reference>
          <reference field="0" count="1" selected="0">
            <x v="16"/>
          </reference>
        </references>
      </pivotArea>
    </chartFormat>
    <chartFormat chart="11" format="39">
      <pivotArea type="data" outline="0" fieldPosition="0">
        <references count="2">
          <reference field="4294967294" count="1" selected="0">
            <x v="0"/>
          </reference>
          <reference field="0" count="1" selected="0">
            <x v="17"/>
          </reference>
        </references>
      </pivotArea>
    </chartFormat>
    <chartFormat chart="11" format="40">
      <pivotArea type="data" outline="0" fieldPosition="0">
        <references count="2">
          <reference field="4294967294" count="1" selected="0">
            <x v="0"/>
          </reference>
          <reference field="0" count="1" selected="0">
            <x v="18"/>
          </reference>
        </references>
      </pivotArea>
    </chartFormat>
    <chartFormat chart="9" format="20">
      <pivotArea type="data" outline="0" fieldPosition="0">
        <references count="2">
          <reference field="4294967294" count="1" selected="0">
            <x v="0"/>
          </reference>
          <reference field="0" count="1" selected="0">
            <x v="0"/>
          </reference>
        </references>
      </pivotArea>
    </chartFormat>
    <chartFormat chart="9" format="21">
      <pivotArea type="data" outline="0" fieldPosition="0">
        <references count="2">
          <reference field="4294967294" count="1" selected="0">
            <x v="0"/>
          </reference>
          <reference field="0" count="1" selected="0">
            <x v="1"/>
          </reference>
        </references>
      </pivotArea>
    </chartFormat>
    <chartFormat chart="9" format="22">
      <pivotArea type="data" outline="0" fieldPosition="0">
        <references count="2">
          <reference field="4294967294" count="1" selected="0">
            <x v="0"/>
          </reference>
          <reference field="0" count="1" selected="0">
            <x v="2"/>
          </reference>
        </references>
      </pivotArea>
    </chartFormat>
    <chartFormat chart="9" format="23">
      <pivotArea type="data" outline="0" fieldPosition="0">
        <references count="2">
          <reference field="4294967294" count="1" selected="0">
            <x v="0"/>
          </reference>
          <reference field="0" count="1" selected="0">
            <x v="3"/>
          </reference>
        </references>
      </pivotArea>
    </chartFormat>
    <chartFormat chart="9" format="24">
      <pivotArea type="data" outline="0" fieldPosition="0">
        <references count="2">
          <reference field="4294967294" count="1" selected="0">
            <x v="0"/>
          </reference>
          <reference field="0" count="1" selected="0">
            <x v="4"/>
          </reference>
        </references>
      </pivotArea>
    </chartFormat>
    <chartFormat chart="9" format="25">
      <pivotArea type="data" outline="0" fieldPosition="0">
        <references count="2">
          <reference field="4294967294" count="1" selected="0">
            <x v="0"/>
          </reference>
          <reference field="0" count="1" selected="0">
            <x v="5"/>
          </reference>
        </references>
      </pivotArea>
    </chartFormat>
    <chartFormat chart="9" format="26">
      <pivotArea type="data" outline="0" fieldPosition="0">
        <references count="2">
          <reference field="4294967294" count="1" selected="0">
            <x v="0"/>
          </reference>
          <reference field="0" count="1" selected="0">
            <x v="6"/>
          </reference>
        </references>
      </pivotArea>
    </chartFormat>
    <chartFormat chart="9" format="27">
      <pivotArea type="data" outline="0" fieldPosition="0">
        <references count="2">
          <reference field="4294967294" count="1" selected="0">
            <x v="0"/>
          </reference>
          <reference field="0" count="1" selected="0">
            <x v="7"/>
          </reference>
        </references>
      </pivotArea>
    </chartFormat>
    <chartFormat chart="9" format="28">
      <pivotArea type="data" outline="0" fieldPosition="0">
        <references count="2">
          <reference field="4294967294" count="1" selected="0">
            <x v="0"/>
          </reference>
          <reference field="0" count="1" selected="0">
            <x v="8"/>
          </reference>
        </references>
      </pivotArea>
    </chartFormat>
    <chartFormat chart="9" format="29">
      <pivotArea type="data" outline="0" fieldPosition="0">
        <references count="2">
          <reference field="4294967294" count="1" selected="0">
            <x v="0"/>
          </reference>
          <reference field="0" count="1" selected="0">
            <x v="9"/>
          </reference>
        </references>
      </pivotArea>
    </chartFormat>
    <chartFormat chart="9" format="30">
      <pivotArea type="data" outline="0" fieldPosition="0">
        <references count="2">
          <reference field="4294967294" count="1" selected="0">
            <x v="0"/>
          </reference>
          <reference field="0" count="1" selected="0">
            <x v="10"/>
          </reference>
        </references>
      </pivotArea>
    </chartFormat>
    <chartFormat chart="9" format="31">
      <pivotArea type="data" outline="0" fieldPosition="0">
        <references count="2">
          <reference field="4294967294" count="1" selected="0">
            <x v="0"/>
          </reference>
          <reference field="0" count="1" selected="0">
            <x v="11"/>
          </reference>
        </references>
      </pivotArea>
    </chartFormat>
    <chartFormat chart="9" format="32">
      <pivotArea type="data" outline="0" fieldPosition="0">
        <references count="2">
          <reference field="4294967294" count="1" selected="0">
            <x v="0"/>
          </reference>
          <reference field="0" count="1" selected="0">
            <x v="12"/>
          </reference>
        </references>
      </pivotArea>
    </chartFormat>
    <chartFormat chart="9" format="33">
      <pivotArea type="data" outline="0" fieldPosition="0">
        <references count="2">
          <reference field="4294967294" count="1" selected="0">
            <x v="0"/>
          </reference>
          <reference field="0" count="1" selected="0">
            <x v="13"/>
          </reference>
        </references>
      </pivotArea>
    </chartFormat>
    <chartFormat chart="9" format="34">
      <pivotArea type="data" outline="0" fieldPosition="0">
        <references count="2">
          <reference field="4294967294" count="1" selected="0">
            <x v="0"/>
          </reference>
          <reference field="0" count="1" selected="0">
            <x v="14"/>
          </reference>
        </references>
      </pivotArea>
    </chartFormat>
    <chartFormat chart="9" format="35">
      <pivotArea type="data" outline="0" fieldPosition="0">
        <references count="2">
          <reference field="4294967294" count="1" selected="0">
            <x v="0"/>
          </reference>
          <reference field="0" count="1" selected="0">
            <x v="15"/>
          </reference>
        </references>
      </pivotArea>
    </chartFormat>
    <chartFormat chart="9" format="36">
      <pivotArea type="data" outline="0" fieldPosition="0">
        <references count="2">
          <reference field="4294967294" count="1" selected="0">
            <x v="0"/>
          </reference>
          <reference field="0" count="1" selected="0">
            <x v="16"/>
          </reference>
        </references>
      </pivotArea>
    </chartFormat>
    <chartFormat chart="9" format="37">
      <pivotArea type="data" outline="0" fieldPosition="0">
        <references count="2">
          <reference field="4294967294" count="1" selected="0">
            <x v="0"/>
          </reference>
          <reference field="0" count="1" selected="0">
            <x v="17"/>
          </reference>
        </references>
      </pivotArea>
    </chartFormat>
    <chartFormat chart="9" format="38">
      <pivotArea type="data" outline="0" fieldPosition="0">
        <references count="2">
          <reference field="4294967294" count="1" selected="0">
            <x v="0"/>
          </reference>
          <reference field="0"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CBFF333-6D72-4BBC-811D-2BDD6BA06309}"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O65:P74" firstHeaderRow="1" firstDataRow="1" firstDataCol="1"/>
  <pivotFields count="17">
    <pivotField showAll="0">
      <items count="20">
        <item x="6"/>
        <item x="16"/>
        <item x="3"/>
        <item x="18"/>
        <item x="10"/>
        <item x="11"/>
        <item x="2"/>
        <item x="0"/>
        <item x="15"/>
        <item x="12"/>
        <item x="9"/>
        <item x="14"/>
        <item x="5"/>
        <item x="8"/>
        <item x="1"/>
        <item x="17"/>
        <item x="13"/>
        <item x="4"/>
        <item x="7"/>
        <item t="default"/>
      </items>
    </pivotField>
    <pivotField dataField="1" showAll="0">
      <items count="9">
        <item x="0"/>
        <item x="7"/>
        <item x="5"/>
        <item x="4"/>
        <item x="1"/>
        <item x="6"/>
        <item x="2"/>
        <item x="3"/>
        <item t="default"/>
      </items>
    </pivotField>
    <pivotField showAll="0">
      <items count="5">
        <item x="3"/>
        <item x="2"/>
        <item x="1"/>
        <item x="0"/>
        <item t="default"/>
      </items>
    </pivotField>
    <pivotField showAll="0"/>
    <pivotField showAll="0"/>
    <pivotField showAll="0"/>
    <pivotField showAll="0">
      <items count="7">
        <item x="1"/>
        <item x="4"/>
        <item x="3"/>
        <item x="0"/>
        <item x="5"/>
        <item x="2"/>
        <item t="default"/>
      </items>
    </pivotField>
    <pivotField showAll="0"/>
    <pivotField axis="axisRow" showAll="0">
      <items count="9">
        <item x="2"/>
        <item x="5"/>
        <item x="0"/>
        <item x="1"/>
        <item x="7"/>
        <item x="6"/>
        <item x="4"/>
        <item x="3"/>
        <item t="default"/>
      </items>
    </pivotField>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8"/>
  </rowFields>
  <rowItems count="9">
    <i>
      <x/>
    </i>
    <i>
      <x v="1"/>
    </i>
    <i>
      <x v="2"/>
    </i>
    <i>
      <x v="3"/>
    </i>
    <i>
      <x v="4"/>
    </i>
    <i>
      <x v="5"/>
    </i>
    <i>
      <x v="6"/>
    </i>
    <i>
      <x v="7"/>
    </i>
    <i t="grand">
      <x/>
    </i>
  </rowItems>
  <colItems count="1">
    <i/>
  </colItems>
  <dataFields count="1">
    <dataField name="Count of Role" fld="1"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2812349-C036-4E11-AD48-1F59963339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A23:D32" firstHeaderRow="0" firstDataRow="1" firstDataCol="1"/>
  <pivotFields count="17">
    <pivotField showAll="0">
      <items count="20">
        <item x="6"/>
        <item x="16"/>
        <item x="3"/>
        <item x="18"/>
        <item x="10"/>
        <item x="11"/>
        <item x="2"/>
        <item x="0"/>
        <item x="15"/>
        <item x="12"/>
        <item x="9"/>
        <item x="14"/>
        <item x="5"/>
        <item x="8"/>
        <item x="1"/>
        <item x="17"/>
        <item x="13"/>
        <item x="4"/>
        <item x="7"/>
        <item t="default"/>
      </items>
    </pivotField>
    <pivotField axis="axisRow" showAll="0">
      <items count="9">
        <item x="0"/>
        <item x="7"/>
        <item x="5"/>
        <item x="4"/>
        <item x="1"/>
        <item x="6"/>
        <item x="2"/>
        <item x="3"/>
        <item t="default"/>
      </items>
    </pivotField>
    <pivotField showAll="0">
      <items count="5">
        <item x="3"/>
        <item x="2"/>
        <item x="1"/>
        <item x="0"/>
        <item t="default"/>
      </items>
    </pivotField>
    <pivotField showAll="0"/>
    <pivotField showAll="0"/>
    <pivotField dataField="1" showAll="0"/>
    <pivotField showAll="0">
      <items count="7">
        <item x="1"/>
        <item x="4"/>
        <item x="3"/>
        <item x="0"/>
        <item x="5"/>
        <item x="2"/>
        <item t="default"/>
      </items>
    </pivotField>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2">
        <item x="0"/>
        <item t="default"/>
      </items>
    </pivotField>
  </pivotFields>
  <rowFields count="1">
    <field x="1"/>
  </rowFields>
  <rowItems count="9">
    <i>
      <x/>
    </i>
    <i>
      <x v="1"/>
    </i>
    <i>
      <x v="2"/>
    </i>
    <i>
      <x v="3"/>
    </i>
    <i>
      <x v="4"/>
    </i>
    <i>
      <x v="5"/>
    </i>
    <i>
      <x v="6"/>
    </i>
    <i>
      <x v="7"/>
    </i>
    <i t="grand">
      <x/>
    </i>
  </rowItems>
  <colFields count="1">
    <field x="-2"/>
  </colFields>
  <colItems count="3">
    <i>
      <x/>
    </i>
    <i i="1">
      <x v="1"/>
    </i>
    <i i="2">
      <x v="2"/>
    </i>
  </colItems>
  <dataFields count="3">
    <dataField name="Average of Salary" fld="5" subtotal="average" baseField="1" baseItem="0"/>
    <dataField name="Max of Salary" fld="5" subtotal="max" baseField="1" baseItem="0"/>
    <dataField name="Min of Salary" fld="5" subtotal="min" baseField="1" baseItem="0"/>
  </dataFields>
  <formats count="18">
    <format dxfId="68">
      <pivotArea type="all" dataOnly="0" outline="0" fieldPosition="0"/>
    </format>
    <format dxfId="67">
      <pivotArea outline="0" collapsedLevelsAreSubtotals="1" fieldPosition="0"/>
    </format>
    <format dxfId="66">
      <pivotArea field="1" type="button" dataOnly="0" labelOnly="1" outline="0" axis="axisRow" fieldPosition="0"/>
    </format>
    <format dxfId="65">
      <pivotArea dataOnly="0" labelOnly="1" fieldPosition="0">
        <references count="1">
          <reference field="1" count="0"/>
        </references>
      </pivotArea>
    </format>
    <format dxfId="64">
      <pivotArea dataOnly="0" labelOnly="1" grandRow="1" outline="0" fieldPosition="0"/>
    </format>
    <format dxfId="63">
      <pivotArea dataOnly="0" labelOnly="1" outline="0" fieldPosition="0">
        <references count="1">
          <reference field="4294967294" count="3">
            <x v="0"/>
            <x v="1"/>
            <x v="2"/>
          </reference>
        </references>
      </pivotArea>
    </format>
    <format dxfId="62">
      <pivotArea type="all" dataOnly="0" outline="0" fieldPosition="0"/>
    </format>
    <format dxfId="61">
      <pivotArea outline="0" collapsedLevelsAreSubtotals="1" fieldPosition="0"/>
    </format>
    <format dxfId="60">
      <pivotArea field="1" type="button" dataOnly="0" labelOnly="1" outline="0" axis="axisRow" fieldPosition="0"/>
    </format>
    <format dxfId="59">
      <pivotArea dataOnly="0" labelOnly="1" fieldPosition="0">
        <references count="1">
          <reference field="1" count="0"/>
        </references>
      </pivotArea>
    </format>
    <format dxfId="58">
      <pivotArea dataOnly="0" labelOnly="1" grandRow="1" outline="0" fieldPosition="0"/>
    </format>
    <format dxfId="57">
      <pivotArea dataOnly="0" labelOnly="1" outline="0" fieldPosition="0">
        <references count="1">
          <reference field="4294967294" count="3">
            <x v="0"/>
            <x v="1"/>
            <x v="2"/>
          </reference>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40" format="12" series="1">
      <pivotArea type="data" outline="0" fieldPosition="0">
        <references count="1">
          <reference field="4294967294" count="1" selected="0">
            <x v="0"/>
          </reference>
        </references>
      </pivotArea>
    </chartFormat>
    <chartFormat chart="40" format="13" series="1">
      <pivotArea type="data" outline="0" fieldPosition="0">
        <references count="1">
          <reference field="4294967294" count="1" selected="0">
            <x v="1"/>
          </reference>
        </references>
      </pivotArea>
    </chartFormat>
    <chartFormat chart="4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B18CAE61-9C2C-43F2-97D9-DB33FCECD056}" sourceName="Location">
  <pivotTables>
    <pivotTable tabId="2" name="PivotTable1"/>
  </pivotTables>
  <data>
    <tabular pivotCacheId="1888940823">
      <items count="7">
        <i x="5" s="1"/>
        <i x="6" s="1"/>
        <i x="4" s="1"/>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1" xr10:uid="{E1FC48B3-484C-4767-A849-73651B3EA14E}" sourceName="Company">
  <pivotTables>
    <pivotTable tabId="2" name="PivotTable7"/>
    <pivotTable tabId="2" name="PivotTable1"/>
    <pivotTable tabId="2" name="PivotTable10"/>
    <pivotTable tabId="2" name="PivotTable11"/>
    <pivotTable tabId="2" name="PivotTable12"/>
    <pivotTable tabId="2" name="PivotTable13"/>
    <pivotTable tabId="2" name="PivotTable2"/>
    <pivotTable tabId="2" name="PivotTable4"/>
    <pivotTable tabId="2" name="PivotTable5"/>
    <pivotTable tabId="2" name="PivotTable8"/>
    <pivotTable tabId="2" name="PivotTable9"/>
    <pivotTable tabId="2" name="PivotTable6"/>
    <pivotTable tabId="2" name="PivotTable14"/>
    <pivotTable tabId="2" name="PivotTable15"/>
    <pivotTable tabId="2" name="PivotTable16"/>
    <pivotTable tabId="2" name="PivotTable17"/>
    <pivotTable tabId="2" name="PivotTable3"/>
    <pivotTable tabId="2" name="PivotTable18"/>
  </pivotTables>
  <data>
    <tabular pivotCacheId="1888940823">
      <items count="19">
        <i x="6" s="1"/>
        <i x="16" s="1"/>
        <i x="3" s="1"/>
        <i x="18" s="1"/>
        <i x="10" s="1"/>
        <i x="11" s="1"/>
        <i x="2" s="1"/>
        <i x="0" s="1"/>
        <i x="15" s="1"/>
        <i x="12" s="1"/>
        <i x="9" s="1"/>
        <i x="14" s="1"/>
        <i x="5" s="1"/>
        <i x="8" s="1"/>
        <i x="1" s="1"/>
        <i x="17" s="1"/>
        <i x="13"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pplication_Source1" xr10:uid="{66D3C295-BBCC-4526-89F1-C498A0B32907}" sourceName="Application Source">
  <pivotTables>
    <pivotTable tabId="2" name="PivotTable2"/>
    <pivotTable tabId="2" name="PivotTable1"/>
    <pivotTable tabId="2" name="PivotTable10"/>
    <pivotTable tabId="2" name="PivotTable11"/>
    <pivotTable tabId="2" name="PivotTable12"/>
    <pivotTable tabId="2" name="PivotTable13"/>
    <pivotTable tabId="2" name="PivotTable4"/>
    <pivotTable tabId="2" name="PivotTable5"/>
    <pivotTable tabId="2" name="PivotTable6"/>
    <pivotTable tabId="2" name="PivotTable7"/>
    <pivotTable tabId="2" name="PivotTable14"/>
    <pivotTable tabId="2" name="PivotTable8"/>
    <pivotTable tabId="2" name="PivotTable9"/>
    <pivotTable tabId="2" name="PivotTable15"/>
    <pivotTable tabId="2" name="PivotTable16"/>
    <pivotTable tabId="2" name="PivotTable17"/>
    <pivotTable tabId="2" name="PivotTable3"/>
    <pivotTable tabId="2" name="PivotTable18"/>
  </pivotTables>
  <data>
    <tabular pivotCacheId="188894082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1" xr10:uid="{80A2DB56-E7E8-4D3B-962F-976554B63CED}" sourceName="Status">
  <pivotTables>
    <pivotTable tabId="2" name="PivotTable5"/>
    <pivotTable tabId="2" name="PivotTable1"/>
    <pivotTable tabId="2" name="PivotTable10"/>
    <pivotTable tabId="2" name="PivotTable11"/>
    <pivotTable tabId="2" name="PivotTable12"/>
    <pivotTable tabId="2" name="PivotTable13"/>
    <pivotTable tabId="2" name="PivotTable2"/>
    <pivotTable tabId="2" name="PivotTable4"/>
    <pivotTable tabId="2" name="PivotTable6"/>
    <pivotTable tabId="2" name="PivotTable7"/>
    <pivotTable tabId="2" name="PivotTable8"/>
    <pivotTable tabId="2" name="PivotTable9"/>
    <pivotTable tabId="2" name="PivotTable14"/>
    <pivotTable tabId="2" name="PivotTable15"/>
    <pivotTable tabId="2" name="PivotTable16"/>
    <pivotTable tabId="2" name="PivotTable17"/>
    <pivotTable tabId="2" name="PivotTable3"/>
    <pivotTable tabId="2" name="PivotTable18"/>
  </pivotTables>
  <data>
    <tabular pivotCacheId="1888940823">
      <items count="4">
        <i x="3" s="1"/>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 xr10:uid="{FCFCB807-39E2-451F-A693-A6E8635D9E33}" sourceName="Experience">
  <pivotTables>
    <pivotTable tabId="2" name="PivotTable7"/>
    <pivotTable tabId="2" name="PivotTable1"/>
    <pivotTable tabId="2" name="PivotTable10"/>
    <pivotTable tabId="2" name="PivotTable11"/>
    <pivotTable tabId="2" name="PivotTable12"/>
    <pivotTable tabId="2" name="PivotTable13"/>
    <pivotTable tabId="2" name="PivotTable2"/>
    <pivotTable tabId="2" name="PivotTable4"/>
    <pivotTable tabId="2" name="PivotTable5"/>
    <pivotTable tabId="2" name="PivotTable6"/>
    <pivotTable tabId="2" name="PivotTable8"/>
    <pivotTable tabId="2" name="PivotTable9"/>
    <pivotTable tabId="2" name="PivotTable14"/>
    <pivotTable tabId="2" name="PivotTable15"/>
    <pivotTable tabId="2" name="PivotTable16"/>
    <pivotTable tabId="2" name="PivotTable17"/>
    <pivotTable tabId="2" name="PivotTable3"/>
    <pivotTable tabId="2" name="PivotTable18"/>
  </pivotTables>
  <data>
    <tabular pivotCacheId="1888940823">
      <items count="6">
        <i x="1" s="1"/>
        <i x="4" s="1"/>
        <i x="3" s="1"/>
        <i x="0" s="1"/>
        <i x="5"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8FFEB0ED-DB31-4443-937A-902976F75039}" sourceName="Role">
  <pivotTables>
    <pivotTable tabId="2" name="PivotTable4"/>
    <pivotTable tabId="2" name="PivotTable1"/>
    <pivotTable tabId="2" name="PivotTable10"/>
    <pivotTable tabId="2" name="PivotTable11"/>
    <pivotTable tabId="2" name="PivotTable12"/>
    <pivotTable tabId="2" name="PivotTable13"/>
    <pivotTable tabId="2" name="PivotTable2"/>
    <pivotTable tabId="2" name="PivotTable5"/>
    <pivotTable tabId="2" name="PivotTable6"/>
    <pivotTable tabId="2" name="PivotTable7"/>
    <pivotTable tabId="2" name="PivotTable8"/>
    <pivotTable tabId="2" name="PivotTable9"/>
    <pivotTable tabId="2" name="PivotTable14"/>
    <pivotTable tabId="2" name="PivotTable15"/>
    <pivotTable tabId="2" name="PivotTable16"/>
    <pivotTable tabId="2" name="PivotTable17"/>
    <pivotTable tabId="2" name="PivotTable3"/>
    <pivotTable tabId="2" name="PivotTable18"/>
  </pivotTables>
  <data>
    <tabular pivotCacheId="1888940823">
      <items count="8">
        <i x="0" s="1"/>
        <i x="7" s="1"/>
        <i x="5" s="1"/>
        <i x="4" s="1"/>
        <i x="1" s="1"/>
        <i x="6"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2" xr10:uid="{AD078F68-80CE-4361-A38B-BB9AA4F20626}" cache="Slicer_Company1" caption="Company" columnCount="8" style="SlicerStyleDark4" rowHeight="241300"/>
  <slicer name="Application Source 2" xr10:uid="{8D3850EA-F2DC-41A5-8388-4823FA081E6D}" cache="Slicer_Application_Source1" caption="Application Source" style="SlicerStyleDark4" rowHeight="241300"/>
  <slicer name="Status 2" xr10:uid="{46C7AFDB-7205-49BA-A510-C0258C43BD4E}" cache="Slicer_Status1" caption="Status" columnCount="2" style="SlicerStyleDark4" rowHeight="241300"/>
  <slicer name="Experience 1" xr10:uid="{C44A9426-2446-45DB-82F8-EF841F0A24C1}" cache="Slicer_Experience" caption="Experience" columnCount="2" style="SlicerStyleDark4" rowHeight="241300"/>
  <slicer name="Role 1" xr10:uid="{C37C4C10-D1C1-46E1-B15F-9CB2CBE56877}" cache="Slicer_Role" caption="Role" columnCount="3" style="SlicerStyleDark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3" xr10:uid="{652B2FCA-2961-435A-9E5F-374F6601380E}" cache="Slicer_Company1" caption="Company" columnCount="8" style="SlicerStyleDark4" rowHeight="241300"/>
  <slicer name="Application Source 3" xr10:uid="{72EE5E60-4D95-472F-9EA8-5896A717D7AD}" cache="Slicer_Application_Source1" caption="Application Source" style="SlicerStyleDark4" rowHeight="241300"/>
  <slicer name="Status 3" xr10:uid="{A698DEA8-780E-4124-A6AB-B49377DAF3C5}" cache="Slicer_Status1" caption="Status" columnCount="2" style="SlicerStyleDark4" rowHeight="241300"/>
  <slicer name="Experience 2" xr10:uid="{626BF8A7-0856-4B0E-8C51-7CB4E051B0EC}" cache="Slicer_Experience" caption="Experience" columnCount="2" style="SlicerStyleDark4" rowHeight="241300"/>
  <slicer name="Role 2" xr10:uid="{695AC208-38E4-4B57-9620-2FCE72E522B4}" cache="Slicer_Role" caption="Role" columnCount="3" style="SlicerStyleDark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4" xr10:uid="{AF20F49B-602A-4303-9C3A-4D339EE3CCB6}" cache="Slicer_Company1" caption="Company" columnCount="8" style="SlicerStyleDark4" rowHeight="241300"/>
  <slicer name="Application Source 4" xr10:uid="{5015B70B-BABE-41CF-8F7F-515B441B1356}" cache="Slicer_Application_Source1" caption="Application Source" style="SlicerStyleDark4" rowHeight="241300"/>
  <slicer name="Status 4" xr10:uid="{41CA7513-D200-4441-924A-B42E69EE4422}" cache="Slicer_Status1" caption="Status" columnCount="2" style="SlicerStyleDark4" rowHeight="241300"/>
  <slicer name="Experience 3" xr10:uid="{41A3B2F1-6AB5-461A-9EC6-096DCCC0F32A}" cache="Slicer_Experience" caption="Experience" columnCount="2" style="SlicerStyleDark4" rowHeight="241300"/>
  <slicer name="Role 3" xr10:uid="{AA35DEA6-6954-48D4-A65F-1DF68AA5E602}" cache="Slicer_Role" caption="Role" columnCount="3" style="SlicerStyleDark4"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5" xr10:uid="{258C278C-C475-4631-A897-A9210500CA53}" cache="Slicer_Company1" caption="Company" columnCount="8" style="SlicerStyleDark4" rowHeight="241300"/>
  <slicer name="Application Source 5" xr10:uid="{4A180846-B60C-495A-A67C-D70E0087279E}" cache="Slicer_Application_Source1" caption="Application Source" style="SlicerStyleDark4" rowHeight="241300"/>
  <slicer name="Status 5" xr10:uid="{5BFA35F8-E29F-4CA7-811D-D4C468EF9EC8}" cache="Slicer_Status1" caption="Status" columnCount="2" style="SlicerStyleDark4" rowHeight="241300"/>
  <slicer name="Experience 4" xr10:uid="{10260FC6-0D6B-4D17-B1CB-C274BC84FF7D}" cache="Slicer_Experience" caption="Experience" columnCount="2" style="SlicerStyleDark4" rowHeight="241300"/>
  <slicer name="Role 4" xr10:uid="{7C6ED8E1-4F88-44AE-A65E-332A7EA65A79}" cache="Slicer_Role" caption="Role" columnCount="3" style="SlicerStyleDark4"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11B3688-11CA-4A63-A260-567A028C1BEB}" cache="Slicer_Location" caption="Location" columnCount="2" rowHeight="241300"/>
  <slicer name="Company 1" xr10:uid="{47F66EB8-B000-41F7-A597-0F92649C8D31}" cache="Slicer_Company1" caption="Company" columnCount="3" rowHeight="241300"/>
  <slicer name="Company" xr10:uid="{E896CD4F-A9CC-4DCA-8EDB-A0D5B570C965}" cache="Slicer_Company1" caption="Company" rowHeight="241300"/>
  <slicer name="Application Source 1" xr10:uid="{763A880C-AE3E-47B9-B75B-49D1BB338FC9}" cache="Slicer_Application_Source1" caption="Application Source" rowHeight="241300"/>
  <slicer name="Status 1" xr10:uid="{3DD9EDFD-1FFE-4B95-A744-24EC8F353283}" cache="Slicer_Status1" caption="Status" rowHeight="241300"/>
  <slicer name="Experience" xr10:uid="{C1DFAC7C-9603-41F5-9245-2BF1886EF1FB}" cache="Slicer_Experience" caption="Experience" columnCount="2" rowHeight="241300"/>
  <slicer name="Role" xr10:uid="{6D2F0A63-E263-4AF8-93D2-7CF20CB90E2F}" cache="Slicer_Role" caption="Role"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F70571-E3D5-44E3-8C5C-58B95EFCAC73}" name="Table1" displayName="Table1" ref="A1:P101" totalsRowShown="0">
  <autoFilter ref="A1:P101" xr:uid="{52F70571-E3D5-44E3-8C5C-58B95EFCAC73}"/>
  <tableColumns count="16">
    <tableColumn id="1" xr3:uid="{BB49115B-A59E-46CB-A119-8A3EE84270F9}" name="Company"/>
    <tableColumn id="2" xr3:uid="{6B8F773F-FFE5-4CB8-A985-2F0C285046BE}" name="Role"/>
    <tableColumn id="3" xr3:uid="{D57F28BE-F8DB-43CE-8A95-DA5CC8A29046}" name="Status"/>
    <tableColumn id="4" xr3:uid="{418BBE02-B8E6-4C30-A974-257E9F44A989}" name="Date Applied" dataDxfId="69"/>
    <tableColumn id="5" xr3:uid="{2A90EB00-9BB6-4908-B215-58394C728563}" name="Location"/>
    <tableColumn id="6" xr3:uid="{2C975E1E-489F-4CAD-A222-AE610B5BC890}" name="Salary"/>
    <tableColumn id="7" xr3:uid="{1C6840BA-CEA0-48E3-87A7-58C61C6263E5}" name="Experience"/>
    <tableColumn id="8" xr3:uid="{26FA4954-1D46-4B11-BE99-CAAA82D17738}" name="Education"/>
    <tableColumn id="9" xr3:uid="{0A2440E8-7865-4A02-9113-BFD1B829DE1D}" name="Skills"/>
    <tableColumn id="10" xr3:uid="{FD6D391D-93A2-4E99-8185-A49F31C92029}" name="Interview Score"/>
    <tableColumn id="11" xr3:uid="{9C80129B-D482-411E-ACFA-3D43F426F876}" name="Offer Accepted"/>
    <tableColumn id="12" xr3:uid="{88DA33A7-96AE-4E25-BCC0-169A75DDFC0A}" name="Notice Period"/>
    <tableColumn id="13" xr3:uid="{1BAAC48E-8D57-46B6-A661-0CC83B505194}" name="Current CTC"/>
    <tableColumn id="14" xr3:uid="{847B26F1-BA2E-4651-BA77-21CB03D53A31}" name="Expected CTC"/>
    <tableColumn id="15" xr3:uid="{F2630702-84B9-4E52-BCED-418DF2C4DD96}" name="Recruiter Name"/>
    <tableColumn id="16" xr3:uid="{56BECE5A-04A9-4DB2-ABA0-859AF15D34C8}" name="Application Sourc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Applied" xr10:uid="{99FD38DE-71C0-4B99-B70E-0BB14AC4F28E}" sourceName="Date Applied">
  <pivotTables>
    <pivotTable tabId="2" name="PivotTable8"/>
    <pivotTable tabId="2" name="PivotTable3"/>
    <pivotTable tabId="2" name="PivotTable18"/>
  </pivotTables>
  <state minimalRefreshVersion="6" lastRefreshVersion="6" pivotCacheId="188894082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Applied" xr10:uid="{5B1D41D3-244D-46CA-8A96-35AD94099992}" cache="NativeTimeline_Date_Applied" caption="Date Applied" level="2" selectionLevel="2" scrollPosition="2025-06-07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microsoft.com/office/2011/relationships/timeline" Target="../timelines/timeline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5.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7.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opLeftCell="E81" workbookViewId="0">
      <selection activeCell="L91" sqref="L91"/>
    </sheetView>
  </sheetViews>
  <sheetFormatPr defaultRowHeight="15" x14ac:dyDescent="0.25"/>
  <cols>
    <col min="1" max="1" width="14.140625" bestFit="1" customWidth="1"/>
    <col min="2" max="2" width="10.85546875" bestFit="1" customWidth="1"/>
    <col min="3" max="3" width="9.5703125" bestFit="1" customWidth="1"/>
    <col min="4" max="4" width="14.85546875" style="14" bestFit="1" customWidth="1"/>
    <col min="5" max="5" width="10.7109375" bestFit="1" customWidth="1"/>
    <col min="6" max="6" width="8.5703125" bestFit="1" customWidth="1"/>
    <col min="7" max="7" width="13.140625" bestFit="1" customWidth="1"/>
    <col min="8" max="8" width="12" bestFit="1" customWidth="1"/>
    <col min="9" max="9" width="16.5703125" bestFit="1" customWidth="1"/>
    <col min="10" max="10" width="17.28515625" bestFit="1" customWidth="1"/>
    <col min="11" max="11" width="16.85546875" bestFit="1" customWidth="1"/>
    <col min="12" max="12" width="15.5703125" bestFit="1" customWidth="1"/>
    <col min="13" max="13" width="13.7109375" bestFit="1" customWidth="1"/>
    <col min="14" max="14" width="15.140625" bestFit="1" customWidth="1"/>
    <col min="15" max="15" width="17.28515625" bestFit="1" customWidth="1"/>
    <col min="16" max="16" width="20.140625" bestFit="1" customWidth="1"/>
  </cols>
  <sheetData>
    <row r="1" spans="1:16" x14ac:dyDescent="0.25">
      <c r="A1" t="s">
        <v>0</v>
      </c>
      <c r="B1" t="s">
        <v>1</v>
      </c>
      <c r="C1" t="s">
        <v>2</v>
      </c>
      <c r="D1" s="14" t="s">
        <v>3</v>
      </c>
      <c r="E1" t="s">
        <v>4</v>
      </c>
      <c r="F1" t="s">
        <v>5</v>
      </c>
      <c r="G1" t="s">
        <v>6</v>
      </c>
      <c r="H1" t="s">
        <v>7</v>
      </c>
      <c r="I1" t="s">
        <v>8</v>
      </c>
      <c r="J1" t="s">
        <v>9</v>
      </c>
      <c r="K1" t="s">
        <v>10</v>
      </c>
      <c r="L1" t="s">
        <v>11</v>
      </c>
      <c r="M1" t="s">
        <v>12</v>
      </c>
      <c r="N1" t="s">
        <v>13</v>
      </c>
      <c r="O1" t="s">
        <v>14</v>
      </c>
      <c r="P1" t="s">
        <v>15</v>
      </c>
    </row>
    <row r="2" spans="1:16" x14ac:dyDescent="0.25">
      <c r="A2" t="s">
        <v>16</v>
      </c>
      <c r="B2" t="s">
        <v>17</v>
      </c>
      <c r="C2" t="s">
        <v>18</v>
      </c>
      <c r="D2" s="14">
        <v>45764</v>
      </c>
      <c r="E2" t="s">
        <v>19</v>
      </c>
      <c r="F2">
        <v>2702187</v>
      </c>
      <c r="G2">
        <v>4</v>
      </c>
      <c r="H2" t="s">
        <v>20</v>
      </c>
      <c r="I2" t="s">
        <v>21</v>
      </c>
      <c r="J2">
        <v>79</v>
      </c>
      <c r="K2" t="s">
        <v>22</v>
      </c>
      <c r="L2">
        <v>90</v>
      </c>
      <c r="M2">
        <v>2516734</v>
      </c>
      <c r="N2">
        <v>2846030</v>
      </c>
      <c r="O2" t="s">
        <v>23</v>
      </c>
      <c r="P2" t="s">
        <v>24</v>
      </c>
    </row>
    <row r="3" spans="1:16" x14ac:dyDescent="0.25">
      <c r="A3" t="s">
        <v>25</v>
      </c>
      <c r="B3" t="s">
        <v>26</v>
      </c>
      <c r="C3" t="s">
        <v>27</v>
      </c>
      <c r="D3" s="14">
        <v>45750</v>
      </c>
      <c r="E3" t="s">
        <v>28</v>
      </c>
      <c r="F3">
        <v>2536732</v>
      </c>
      <c r="G3">
        <v>4</v>
      </c>
      <c r="H3" t="s">
        <v>20</v>
      </c>
      <c r="I3" t="s">
        <v>29</v>
      </c>
      <c r="J3">
        <v>78</v>
      </c>
      <c r="K3" t="s">
        <v>30</v>
      </c>
      <c r="L3">
        <v>60</v>
      </c>
      <c r="M3">
        <v>2450875</v>
      </c>
      <c r="N3">
        <v>2661729</v>
      </c>
      <c r="O3" t="s">
        <v>31</v>
      </c>
      <c r="P3" t="s">
        <v>32</v>
      </c>
    </row>
    <row r="4" spans="1:16" x14ac:dyDescent="0.25">
      <c r="A4" t="s">
        <v>33</v>
      </c>
      <c r="B4" t="s">
        <v>34</v>
      </c>
      <c r="C4" t="s">
        <v>35</v>
      </c>
      <c r="D4" s="14">
        <v>45710</v>
      </c>
      <c r="E4" t="s">
        <v>36</v>
      </c>
      <c r="F4">
        <v>1371941</v>
      </c>
      <c r="G4">
        <v>1</v>
      </c>
      <c r="H4" t="s">
        <v>37</v>
      </c>
      <c r="I4" t="s">
        <v>38</v>
      </c>
      <c r="J4">
        <v>65</v>
      </c>
      <c r="K4" t="s">
        <v>22</v>
      </c>
      <c r="L4">
        <v>30</v>
      </c>
      <c r="M4">
        <v>1230369</v>
      </c>
      <c r="N4">
        <v>1555876</v>
      </c>
      <c r="O4" t="s">
        <v>39</v>
      </c>
      <c r="P4" t="s">
        <v>24</v>
      </c>
    </row>
    <row r="5" spans="1:16" x14ac:dyDescent="0.25">
      <c r="A5" t="s">
        <v>16</v>
      </c>
      <c r="B5" t="s">
        <v>40</v>
      </c>
      <c r="C5" t="s">
        <v>18</v>
      </c>
      <c r="D5" s="14">
        <v>45745</v>
      </c>
      <c r="E5" t="s">
        <v>28</v>
      </c>
      <c r="F5">
        <v>2655548</v>
      </c>
      <c r="G5">
        <v>6</v>
      </c>
      <c r="H5" t="s">
        <v>41</v>
      </c>
      <c r="I5" t="s">
        <v>42</v>
      </c>
      <c r="J5">
        <v>74</v>
      </c>
      <c r="K5" t="s">
        <v>22</v>
      </c>
      <c r="L5">
        <v>60</v>
      </c>
      <c r="M5">
        <v>2603471</v>
      </c>
      <c r="N5">
        <v>2842097</v>
      </c>
      <c r="O5" t="s">
        <v>43</v>
      </c>
      <c r="P5" t="s">
        <v>44</v>
      </c>
    </row>
    <row r="6" spans="1:16" x14ac:dyDescent="0.25">
      <c r="A6" t="s">
        <v>45</v>
      </c>
      <c r="B6" t="s">
        <v>34</v>
      </c>
      <c r="C6" t="s">
        <v>35</v>
      </c>
      <c r="D6" s="14">
        <v>45756</v>
      </c>
      <c r="E6" t="s">
        <v>36</v>
      </c>
      <c r="F6">
        <v>1826747</v>
      </c>
      <c r="G6">
        <v>3</v>
      </c>
      <c r="H6" t="s">
        <v>20</v>
      </c>
      <c r="I6" t="s">
        <v>46</v>
      </c>
      <c r="J6">
        <v>59</v>
      </c>
      <c r="K6" t="s">
        <v>22</v>
      </c>
      <c r="L6">
        <v>90</v>
      </c>
      <c r="M6">
        <v>1733053</v>
      </c>
      <c r="N6">
        <v>2112592</v>
      </c>
      <c r="O6" t="s">
        <v>47</v>
      </c>
      <c r="P6" t="s">
        <v>24</v>
      </c>
    </row>
    <row r="7" spans="1:16" x14ac:dyDescent="0.25">
      <c r="A7" t="s">
        <v>48</v>
      </c>
      <c r="B7" t="s">
        <v>26</v>
      </c>
      <c r="C7" t="s">
        <v>49</v>
      </c>
      <c r="D7" s="14">
        <v>45668</v>
      </c>
      <c r="E7" t="s">
        <v>50</v>
      </c>
      <c r="F7">
        <v>2325432</v>
      </c>
      <c r="G7">
        <v>3</v>
      </c>
      <c r="H7" t="s">
        <v>20</v>
      </c>
      <c r="I7" t="s">
        <v>29</v>
      </c>
      <c r="J7">
        <v>70</v>
      </c>
      <c r="K7" t="s">
        <v>22</v>
      </c>
      <c r="L7">
        <v>90</v>
      </c>
      <c r="M7">
        <v>2141898</v>
      </c>
      <c r="N7">
        <v>2409879</v>
      </c>
      <c r="O7" t="s">
        <v>51</v>
      </c>
      <c r="P7" t="s">
        <v>44</v>
      </c>
    </row>
    <row r="8" spans="1:16" x14ac:dyDescent="0.25">
      <c r="A8" t="s">
        <v>52</v>
      </c>
      <c r="B8" t="s">
        <v>53</v>
      </c>
      <c r="C8" t="s">
        <v>18</v>
      </c>
      <c r="D8" s="14">
        <v>45733</v>
      </c>
      <c r="E8" t="s">
        <v>54</v>
      </c>
      <c r="F8">
        <v>1930451</v>
      </c>
      <c r="G8">
        <v>3</v>
      </c>
      <c r="H8" t="s">
        <v>41</v>
      </c>
      <c r="I8" t="s">
        <v>42</v>
      </c>
      <c r="J8">
        <v>86</v>
      </c>
      <c r="K8" t="s">
        <v>22</v>
      </c>
      <c r="L8">
        <v>45</v>
      </c>
      <c r="M8">
        <v>1792825</v>
      </c>
      <c r="N8">
        <v>2014068</v>
      </c>
      <c r="O8" t="s">
        <v>55</v>
      </c>
      <c r="P8" t="s">
        <v>32</v>
      </c>
    </row>
    <row r="9" spans="1:16" x14ac:dyDescent="0.25">
      <c r="A9" t="s">
        <v>56</v>
      </c>
      <c r="B9" t="s">
        <v>34</v>
      </c>
      <c r="C9" t="s">
        <v>49</v>
      </c>
      <c r="D9" s="14">
        <v>45803</v>
      </c>
      <c r="E9" t="s">
        <v>57</v>
      </c>
      <c r="F9">
        <v>1095802</v>
      </c>
      <c r="G9">
        <v>2</v>
      </c>
      <c r="H9" t="s">
        <v>37</v>
      </c>
      <c r="I9" t="s">
        <v>58</v>
      </c>
      <c r="J9">
        <v>85</v>
      </c>
      <c r="K9" t="s">
        <v>22</v>
      </c>
      <c r="L9">
        <v>45</v>
      </c>
      <c r="M9">
        <v>907984</v>
      </c>
      <c r="N9">
        <v>1151385</v>
      </c>
      <c r="O9" t="s">
        <v>39</v>
      </c>
      <c r="P9" t="s">
        <v>44</v>
      </c>
    </row>
    <row r="10" spans="1:16" x14ac:dyDescent="0.25">
      <c r="A10" t="s">
        <v>59</v>
      </c>
      <c r="B10" t="s">
        <v>17</v>
      </c>
      <c r="C10" t="s">
        <v>18</v>
      </c>
      <c r="D10" s="14">
        <v>45697</v>
      </c>
      <c r="E10" t="s">
        <v>28</v>
      </c>
      <c r="F10">
        <v>2517727</v>
      </c>
      <c r="G10">
        <v>5</v>
      </c>
      <c r="H10" t="s">
        <v>37</v>
      </c>
      <c r="I10" t="s">
        <v>29</v>
      </c>
      <c r="J10">
        <v>92</v>
      </c>
      <c r="K10" t="s">
        <v>22</v>
      </c>
      <c r="L10">
        <v>60</v>
      </c>
      <c r="M10">
        <v>2322557</v>
      </c>
      <c r="N10">
        <v>2579129</v>
      </c>
      <c r="O10" t="s">
        <v>55</v>
      </c>
      <c r="P10" t="s">
        <v>44</v>
      </c>
    </row>
    <row r="11" spans="1:16" x14ac:dyDescent="0.25">
      <c r="A11" t="s">
        <v>25</v>
      </c>
      <c r="B11" t="s">
        <v>17</v>
      </c>
      <c r="C11" t="s">
        <v>27</v>
      </c>
      <c r="D11" s="14">
        <v>45712</v>
      </c>
      <c r="E11" t="s">
        <v>36</v>
      </c>
      <c r="F11">
        <v>2021942</v>
      </c>
      <c r="G11">
        <v>3</v>
      </c>
      <c r="H11" t="s">
        <v>41</v>
      </c>
      <c r="I11" t="s">
        <v>60</v>
      </c>
      <c r="J11">
        <v>57</v>
      </c>
      <c r="K11" t="s">
        <v>30</v>
      </c>
      <c r="L11">
        <v>45</v>
      </c>
      <c r="M11">
        <v>1864648</v>
      </c>
      <c r="N11">
        <v>2219713</v>
      </c>
      <c r="O11" t="s">
        <v>61</v>
      </c>
      <c r="P11" t="s">
        <v>44</v>
      </c>
    </row>
    <row r="12" spans="1:16" x14ac:dyDescent="0.25">
      <c r="A12" t="s">
        <v>25</v>
      </c>
      <c r="B12" t="s">
        <v>62</v>
      </c>
      <c r="C12" t="s">
        <v>27</v>
      </c>
      <c r="D12" s="14">
        <v>45795</v>
      </c>
      <c r="E12" t="s">
        <v>28</v>
      </c>
      <c r="F12">
        <v>2458766</v>
      </c>
      <c r="G12">
        <v>1</v>
      </c>
      <c r="H12" t="s">
        <v>63</v>
      </c>
      <c r="I12" t="s">
        <v>58</v>
      </c>
      <c r="J12">
        <v>64</v>
      </c>
      <c r="K12" t="s">
        <v>30</v>
      </c>
      <c r="L12">
        <v>30</v>
      </c>
      <c r="M12">
        <v>2401858</v>
      </c>
      <c r="N12">
        <v>2611760</v>
      </c>
      <c r="O12" t="s">
        <v>55</v>
      </c>
      <c r="P12" t="s">
        <v>32</v>
      </c>
    </row>
    <row r="13" spans="1:16" x14ac:dyDescent="0.25">
      <c r="A13" t="s">
        <v>64</v>
      </c>
      <c r="B13" t="s">
        <v>60</v>
      </c>
      <c r="C13" t="s">
        <v>35</v>
      </c>
      <c r="D13" s="14">
        <v>45686</v>
      </c>
      <c r="E13" t="s">
        <v>28</v>
      </c>
      <c r="F13">
        <v>2101197</v>
      </c>
      <c r="G13">
        <v>3</v>
      </c>
      <c r="H13" t="s">
        <v>63</v>
      </c>
      <c r="I13" t="s">
        <v>58</v>
      </c>
      <c r="J13">
        <v>60</v>
      </c>
      <c r="K13" t="s">
        <v>22</v>
      </c>
      <c r="L13">
        <v>60</v>
      </c>
      <c r="M13">
        <v>1924193</v>
      </c>
      <c r="N13">
        <v>2169529</v>
      </c>
      <c r="O13" t="s">
        <v>65</v>
      </c>
      <c r="P13" t="s">
        <v>24</v>
      </c>
    </row>
    <row r="14" spans="1:16" x14ac:dyDescent="0.25">
      <c r="A14" t="s">
        <v>66</v>
      </c>
      <c r="B14" t="s">
        <v>17</v>
      </c>
      <c r="C14" t="s">
        <v>18</v>
      </c>
      <c r="D14" s="14">
        <v>45690</v>
      </c>
      <c r="E14" t="s">
        <v>19</v>
      </c>
      <c r="F14">
        <v>2659376</v>
      </c>
      <c r="G14">
        <v>6</v>
      </c>
      <c r="H14" t="s">
        <v>63</v>
      </c>
      <c r="I14" t="s">
        <v>21</v>
      </c>
      <c r="J14">
        <v>88</v>
      </c>
      <c r="K14" t="s">
        <v>22</v>
      </c>
      <c r="L14">
        <v>45</v>
      </c>
      <c r="M14">
        <v>2532129</v>
      </c>
      <c r="N14">
        <v>2859864</v>
      </c>
      <c r="O14" t="s">
        <v>39</v>
      </c>
      <c r="P14" t="s">
        <v>32</v>
      </c>
    </row>
    <row r="15" spans="1:16" x14ac:dyDescent="0.25">
      <c r="A15" t="s">
        <v>67</v>
      </c>
      <c r="B15" t="s">
        <v>68</v>
      </c>
      <c r="C15" t="s">
        <v>27</v>
      </c>
      <c r="D15" s="14">
        <v>45802</v>
      </c>
      <c r="E15" t="s">
        <v>28</v>
      </c>
      <c r="F15">
        <v>1318122</v>
      </c>
      <c r="G15">
        <v>2</v>
      </c>
      <c r="H15" t="s">
        <v>41</v>
      </c>
      <c r="I15" t="s">
        <v>60</v>
      </c>
      <c r="J15">
        <v>59</v>
      </c>
      <c r="K15" t="s">
        <v>30</v>
      </c>
      <c r="L15">
        <v>45</v>
      </c>
      <c r="M15">
        <v>1252681</v>
      </c>
      <c r="N15">
        <v>1509607</v>
      </c>
      <c r="O15" t="s">
        <v>23</v>
      </c>
      <c r="P15" t="s">
        <v>44</v>
      </c>
    </row>
    <row r="16" spans="1:16" x14ac:dyDescent="0.25">
      <c r="A16" t="s">
        <v>48</v>
      </c>
      <c r="B16" t="s">
        <v>40</v>
      </c>
      <c r="C16" t="s">
        <v>49</v>
      </c>
      <c r="D16" s="14">
        <v>45761</v>
      </c>
      <c r="E16" t="s">
        <v>28</v>
      </c>
      <c r="F16">
        <v>2267089</v>
      </c>
      <c r="G16">
        <v>2</v>
      </c>
      <c r="H16" t="s">
        <v>63</v>
      </c>
      <c r="I16" t="s">
        <v>42</v>
      </c>
      <c r="J16">
        <v>90</v>
      </c>
      <c r="K16" t="s">
        <v>22</v>
      </c>
      <c r="L16">
        <v>90</v>
      </c>
      <c r="M16">
        <v>2214590</v>
      </c>
      <c r="N16">
        <v>2361025</v>
      </c>
      <c r="O16" t="s">
        <v>69</v>
      </c>
      <c r="P16" t="s">
        <v>32</v>
      </c>
    </row>
    <row r="17" spans="1:16" x14ac:dyDescent="0.25">
      <c r="A17" t="s">
        <v>70</v>
      </c>
      <c r="B17" t="s">
        <v>68</v>
      </c>
      <c r="C17" t="s">
        <v>18</v>
      </c>
      <c r="D17" s="14">
        <v>45749</v>
      </c>
      <c r="E17" t="s">
        <v>19</v>
      </c>
      <c r="F17">
        <v>525129</v>
      </c>
      <c r="G17">
        <v>2</v>
      </c>
      <c r="H17" t="s">
        <v>63</v>
      </c>
      <c r="I17" t="s">
        <v>71</v>
      </c>
      <c r="J17">
        <v>79</v>
      </c>
      <c r="K17" t="s">
        <v>22</v>
      </c>
      <c r="L17">
        <v>45</v>
      </c>
      <c r="M17">
        <v>362382</v>
      </c>
      <c r="N17">
        <v>694550</v>
      </c>
      <c r="O17" t="s">
        <v>72</v>
      </c>
      <c r="P17" t="s">
        <v>32</v>
      </c>
    </row>
    <row r="18" spans="1:16" x14ac:dyDescent="0.25">
      <c r="A18" t="s">
        <v>45</v>
      </c>
      <c r="B18" t="s">
        <v>17</v>
      </c>
      <c r="C18" t="s">
        <v>27</v>
      </c>
      <c r="D18" s="14">
        <v>45797</v>
      </c>
      <c r="E18" t="s">
        <v>19</v>
      </c>
      <c r="F18">
        <v>2382440</v>
      </c>
      <c r="G18">
        <v>2</v>
      </c>
      <c r="H18" t="s">
        <v>41</v>
      </c>
      <c r="I18" t="s">
        <v>46</v>
      </c>
      <c r="J18">
        <v>55</v>
      </c>
      <c r="K18" t="s">
        <v>30</v>
      </c>
      <c r="L18">
        <v>30</v>
      </c>
      <c r="M18">
        <v>2243733</v>
      </c>
      <c r="N18">
        <v>2459127</v>
      </c>
      <c r="O18" t="s">
        <v>55</v>
      </c>
      <c r="P18" t="s">
        <v>24</v>
      </c>
    </row>
    <row r="19" spans="1:16" x14ac:dyDescent="0.25">
      <c r="A19" t="s">
        <v>56</v>
      </c>
      <c r="B19" t="s">
        <v>60</v>
      </c>
      <c r="C19" t="s">
        <v>18</v>
      </c>
      <c r="D19" s="14">
        <v>45769</v>
      </c>
      <c r="E19" t="s">
        <v>73</v>
      </c>
      <c r="F19">
        <v>2255039</v>
      </c>
      <c r="G19">
        <v>1</v>
      </c>
      <c r="H19" t="s">
        <v>37</v>
      </c>
      <c r="I19" t="s">
        <v>29</v>
      </c>
      <c r="J19">
        <v>92</v>
      </c>
      <c r="K19" t="s">
        <v>22</v>
      </c>
      <c r="L19">
        <v>90</v>
      </c>
      <c r="M19">
        <v>2099694</v>
      </c>
      <c r="N19">
        <v>2550455</v>
      </c>
      <c r="O19" t="s">
        <v>51</v>
      </c>
      <c r="P19" t="s">
        <v>24</v>
      </c>
    </row>
    <row r="20" spans="1:16" x14ac:dyDescent="0.25">
      <c r="A20" t="s">
        <v>33</v>
      </c>
      <c r="B20" t="s">
        <v>34</v>
      </c>
      <c r="C20" t="s">
        <v>49</v>
      </c>
      <c r="D20" s="14">
        <v>45753</v>
      </c>
      <c r="E20" t="s">
        <v>73</v>
      </c>
      <c r="F20">
        <v>910737</v>
      </c>
      <c r="G20">
        <v>2</v>
      </c>
      <c r="H20" t="s">
        <v>63</v>
      </c>
      <c r="I20" t="s">
        <v>71</v>
      </c>
      <c r="J20">
        <v>76</v>
      </c>
      <c r="K20" t="s">
        <v>22</v>
      </c>
      <c r="L20">
        <v>90</v>
      </c>
      <c r="M20">
        <v>855723</v>
      </c>
      <c r="N20">
        <v>1114675</v>
      </c>
      <c r="O20" t="s">
        <v>43</v>
      </c>
      <c r="P20" t="s">
        <v>24</v>
      </c>
    </row>
    <row r="21" spans="1:16" x14ac:dyDescent="0.25">
      <c r="A21" t="s">
        <v>74</v>
      </c>
      <c r="B21" t="s">
        <v>60</v>
      </c>
      <c r="C21" t="s">
        <v>27</v>
      </c>
      <c r="D21" s="14">
        <v>45678</v>
      </c>
      <c r="E21" t="s">
        <v>57</v>
      </c>
      <c r="F21">
        <v>2469596</v>
      </c>
      <c r="G21">
        <v>6</v>
      </c>
      <c r="H21" t="s">
        <v>37</v>
      </c>
      <c r="I21" t="s">
        <v>21</v>
      </c>
      <c r="J21">
        <v>76</v>
      </c>
      <c r="K21" t="s">
        <v>30</v>
      </c>
      <c r="L21">
        <v>90</v>
      </c>
      <c r="M21">
        <v>2413749</v>
      </c>
      <c r="N21">
        <v>2656642</v>
      </c>
      <c r="O21" t="s">
        <v>61</v>
      </c>
      <c r="P21" t="s">
        <v>44</v>
      </c>
    </row>
    <row r="22" spans="1:16" x14ac:dyDescent="0.25">
      <c r="A22" t="s">
        <v>16</v>
      </c>
      <c r="B22" t="s">
        <v>17</v>
      </c>
      <c r="C22" t="s">
        <v>49</v>
      </c>
      <c r="D22" s="14">
        <v>45776</v>
      </c>
      <c r="E22" t="s">
        <v>19</v>
      </c>
      <c r="F22">
        <v>1458843</v>
      </c>
      <c r="G22">
        <v>6</v>
      </c>
      <c r="H22" t="s">
        <v>41</v>
      </c>
      <c r="I22" t="s">
        <v>29</v>
      </c>
      <c r="J22">
        <v>78</v>
      </c>
      <c r="K22" t="s">
        <v>22</v>
      </c>
      <c r="L22">
        <v>90</v>
      </c>
      <c r="M22">
        <v>1269478</v>
      </c>
      <c r="N22">
        <v>1563610</v>
      </c>
      <c r="O22" t="s">
        <v>65</v>
      </c>
      <c r="P22" t="s">
        <v>24</v>
      </c>
    </row>
    <row r="23" spans="1:16" x14ac:dyDescent="0.25">
      <c r="A23" t="s">
        <v>59</v>
      </c>
      <c r="B23" t="s">
        <v>17</v>
      </c>
      <c r="C23" t="s">
        <v>49</v>
      </c>
      <c r="D23" s="14">
        <v>45745</v>
      </c>
      <c r="E23" t="s">
        <v>54</v>
      </c>
      <c r="F23">
        <v>1767781</v>
      </c>
      <c r="G23">
        <v>3</v>
      </c>
      <c r="H23" t="s">
        <v>37</v>
      </c>
      <c r="I23" t="s">
        <v>58</v>
      </c>
      <c r="J23">
        <v>61</v>
      </c>
      <c r="K23" t="s">
        <v>22</v>
      </c>
      <c r="L23">
        <v>30</v>
      </c>
      <c r="M23">
        <v>1617213</v>
      </c>
      <c r="N23">
        <v>2007294</v>
      </c>
      <c r="O23" t="s">
        <v>75</v>
      </c>
      <c r="P23" t="s">
        <v>24</v>
      </c>
    </row>
    <row r="24" spans="1:16" x14ac:dyDescent="0.25">
      <c r="A24" t="s">
        <v>59</v>
      </c>
      <c r="B24" t="s">
        <v>34</v>
      </c>
      <c r="C24" t="s">
        <v>18</v>
      </c>
      <c r="D24" s="14">
        <v>45773</v>
      </c>
      <c r="E24" t="s">
        <v>50</v>
      </c>
      <c r="F24">
        <v>1156505</v>
      </c>
      <c r="G24">
        <v>5</v>
      </c>
      <c r="H24" t="s">
        <v>20</v>
      </c>
      <c r="I24" t="s">
        <v>60</v>
      </c>
      <c r="J24">
        <v>73</v>
      </c>
      <c r="K24" t="s">
        <v>22</v>
      </c>
      <c r="L24">
        <v>45</v>
      </c>
      <c r="M24">
        <v>990533</v>
      </c>
      <c r="N24">
        <v>1212487</v>
      </c>
      <c r="O24" t="s">
        <v>43</v>
      </c>
      <c r="P24" t="s">
        <v>44</v>
      </c>
    </row>
    <row r="25" spans="1:16" x14ac:dyDescent="0.25">
      <c r="A25" t="s">
        <v>48</v>
      </c>
      <c r="B25" t="s">
        <v>40</v>
      </c>
      <c r="C25" t="s">
        <v>27</v>
      </c>
      <c r="D25" s="14">
        <v>45750</v>
      </c>
      <c r="E25" t="s">
        <v>54</v>
      </c>
      <c r="F25">
        <v>358017</v>
      </c>
      <c r="G25">
        <v>4</v>
      </c>
      <c r="H25" t="s">
        <v>37</v>
      </c>
      <c r="I25" t="s">
        <v>58</v>
      </c>
      <c r="J25">
        <v>56</v>
      </c>
      <c r="K25" t="s">
        <v>30</v>
      </c>
      <c r="L25">
        <v>45</v>
      </c>
      <c r="M25">
        <v>276696</v>
      </c>
      <c r="N25">
        <v>459695</v>
      </c>
      <c r="O25" t="s">
        <v>31</v>
      </c>
      <c r="P25" t="s">
        <v>32</v>
      </c>
    </row>
    <row r="26" spans="1:16" x14ac:dyDescent="0.25">
      <c r="A26" t="s">
        <v>33</v>
      </c>
      <c r="B26" t="s">
        <v>62</v>
      </c>
      <c r="C26" t="s">
        <v>18</v>
      </c>
      <c r="D26" s="14">
        <v>45762</v>
      </c>
      <c r="E26" t="s">
        <v>28</v>
      </c>
      <c r="F26">
        <v>2203855</v>
      </c>
      <c r="G26">
        <v>6</v>
      </c>
      <c r="H26" t="s">
        <v>63</v>
      </c>
      <c r="I26" t="s">
        <v>46</v>
      </c>
      <c r="J26">
        <v>85</v>
      </c>
      <c r="K26" t="s">
        <v>22</v>
      </c>
      <c r="L26">
        <v>90</v>
      </c>
      <c r="M26">
        <v>2007513</v>
      </c>
      <c r="N26">
        <v>2346530</v>
      </c>
      <c r="O26" t="s">
        <v>76</v>
      </c>
      <c r="P26" t="s">
        <v>24</v>
      </c>
    </row>
    <row r="27" spans="1:16" x14ac:dyDescent="0.25">
      <c r="A27" t="s">
        <v>33</v>
      </c>
      <c r="B27" t="s">
        <v>26</v>
      </c>
      <c r="C27" t="s">
        <v>49</v>
      </c>
      <c r="D27" s="14">
        <v>45699</v>
      </c>
      <c r="E27" t="s">
        <v>73</v>
      </c>
      <c r="F27">
        <v>1560101</v>
      </c>
      <c r="G27">
        <v>2</v>
      </c>
      <c r="H27" t="s">
        <v>20</v>
      </c>
      <c r="I27" t="s">
        <v>71</v>
      </c>
      <c r="J27">
        <v>94</v>
      </c>
      <c r="K27" t="s">
        <v>22</v>
      </c>
      <c r="L27">
        <v>60</v>
      </c>
      <c r="M27">
        <v>1434656</v>
      </c>
      <c r="N27">
        <v>1847752</v>
      </c>
      <c r="O27" t="s">
        <v>39</v>
      </c>
      <c r="P27" t="s">
        <v>44</v>
      </c>
    </row>
    <row r="28" spans="1:16" x14ac:dyDescent="0.25">
      <c r="A28" t="s">
        <v>59</v>
      </c>
      <c r="B28" t="s">
        <v>53</v>
      </c>
      <c r="C28" t="s">
        <v>35</v>
      </c>
      <c r="D28" s="14">
        <v>45758</v>
      </c>
      <c r="E28" t="s">
        <v>50</v>
      </c>
      <c r="F28">
        <v>1761608</v>
      </c>
      <c r="G28">
        <v>4</v>
      </c>
      <c r="H28" t="s">
        <v>63</v>
      </c>
      <c r="I28" t="s">
        <v>38</v>
      </c>
      <c r="J28">
        <v>88</v>
      </c>
      <c r="K28" t="s">
        <v>22</v>
      </c>
      <c r="L28">
        <v>30</v>
      </c>
      <c r="M28">
        <v>1602272</v>
      </c>
      <c r="N28">
        <v>1932908</v>
      </c>
      <c r="O28" t="s">
        <v>69</v>
      </c>
      <c r="P28" t="s">
        <v>24</v>
      </c>
    </row>
    <row r="29" spans="1:16" x14ac:dyDescent="0.25">
      <c r="A29" t="s">
        <v>45</v>
      </c>
      <c r="B29" t="s">
        <v>26</v>
      </c>
      <c r="C29" t="s">
        <v>35</v>
      </c>
      <c r="D29" s="14">
        <v>45730</v>
      </c>
      <c r="E29" t="s">
        <v>36</v>
      </c>
      <c r="F29">
        <v>1240538</v>
      </c>
      <c r="G29">
        <v>1</v>
      </c>
      <c r="H29" t="s">
        <v>41</v>
      </c>
      <c r="I29" t="s">
        <v>46</v>
      </c>
      <c r="J29">
        <v>95</v>
      </c>
      <c r="K29" t="s">
        <v>22</v>
      </c>
      <c r="L29">
        <v>45</v>
      </c>
      <c r="M29">
        <v>1095409</v>
      </c>
      <c r="N29">
        <v>1344474</v>
      </c>
      <c r="O29" t="s">
        <v>55</v>
      </c>
      <c r="P29" t="s">
        <v>44</v>
      </c>
    </row>
    <row r="30" spans="1:16" x14ac:dyDescent="0.25">
      <c r="A30" t="s">
        <v>25</v>
      </c>
      <c r="B30" t="s">
        <v>60</v>
      </c>
      <c r="C30" t="s">
        <v>49</v>
      </c>
      <c r="D30" s="14">
        <v>45758</v>
      </c>
      <c r="E30" t="s">
        <v>19</v>
      </c>
      <c r="F30">
        <v>1176664</v>
      </c>
      <c r="G30">
        <v>6</v>
      </c>
      <c r="H30" t="s">
        <v>63</v>
      </c>
      <c r="I30" t="s">
        <v>21</v>
      </c>
      <c r="J30">
        <v>86</v>
      </c>
      <c r="K30" t="s">
        <v>22</v>
      </c>
      <c r="L30">
        <v>45</v>
      </c>
      <c r="M30">
        <v>1019184</v>
      </c>
      <c r="N30">
        <v>1410325</v>
      </c>
      <c r="O30" t="s">
        <v>47</v>
      </c>
      <c r="P30" t="s">
        <v>44</v>
      </c>
    </row>
    <row r="31" spans="1:16" x14ac:dyDescent="0.25">
      <c r="A31" t="s">
        <v>45</v>
      </c>
      <c r="B31" t="s">
        <v>26</v>
      </c>
      <c r="C31" t="s">
        <v>27</v>
      </c>
      <c r="D31" s="14">
        <v>45755</v>
      </c>
      <c r="E31" t="s">
        <v>73</v>
      </c>
      <c r="F31">
        <v>791995</v>
      </c>
      <c r="G31">
        <v>5</v>
      </c>
      <c r="H31" t="s">
        <v>20</v>
      </c>
      <c r="I31" t="s">
        <v>29</v>
      </c>
      <c r="J31">
        <v>74</v>
      </c>
      <c r="K31" t="s">
        <v>30</v>
      </c>
      <c r="L31">
        <v>30</v>
      </c>
      <c r="M31">
        <v>623475</v>
      </c>
      <c r="N31">
        <v>961299</v>
      </c>
      <c r="O31" t="s">
        <v>55</v>
      </c>
      <c r="P31" t="s">
        <v>32</v>
      </c>
    </row>
    <row r="32" spans="1:16" x14ac:dyDescent="0.25">
      <c r="A32" t="s">
        <v>67</v>
      </c>
      <c r="B32" t="s">
        <v>34</v>
      </c>
      <c r="C32" t="s">
        <v>49</v>
      </c>
      <c r="D32" s="14">
        <v>45773</v>
      </c>
      <c r="E32" t="s">
        <v>19</v>
      </c>
      <c r="F32">
        <v>1574132</v>
      </c>
      <c r="G32">
        <v>2</v>
      </c>
      <c r="H32" t="s">
        <v>37</v>
      </c>
      <c r="I32" t="s">
        <v>29</v>
      </c>
      <c r="J32">
        <v>74</v>
      </c>
      <c r="K32" t="s">
        <v>22</v>
      </c>
      <c r="L32">
        <v>90</v>
      </c>
      <c r="M32">
        <v>1430439</v>
      </c>
      <c r="N32">
        <v>1739905</v>
      </c>
      <c r="O32" t="s">
        <v>43</v>
      </c>
      <c r="P32" t="s">
        <v>44</v>
      </c>
    </row>
    <row r="33" spans="1:16" x14ac:dyDescent="0.25">
      <c r="A33" t="s">
        <v>33</v>
      </c>
      <c r="B33" t="s">
        <v>34</v>
      </c>
      <c r="C33" t="s">
        <v>49</v>
      </c>
      <c r="D33" s="14">
        <v>45771</v>
      </c>
      <c r="E33" t="s">
        <v>28</v>
      </c>
      <c r="F33">
        <v>803351</v>
      </c>
      <c r="G33">
        <v>2</v>
      </c>
      <c r="H33" t="s">
        <v>37</v>
      </c>
      <c r="I33" t="s">
        <v>42</v>
      </c>
      <c r="J33">
        <v>85</v>
      </c>
      <c r="K33" t="s">
        <v>22</v>
      </c>
      <c r="L33">
        <v>90</v>
      </c>
      <c r="M33">
        <v>614942</v>
      </c>
      <c r="N33">
        <v>1017306</v>
      </c>
      <c r="O33" t="s">
        <v>77</v>
      </c>
      <c r="P33" t="s">
        <v>32</v>
      </c>
    </row>
    <row r="34" spans="1:16" x14ac:dyDescent="0.25">
      <c r="A34" t="s">
        <v>66</v>
      </c>
      <c r="B34" t="s">
        <v>34</v>
      </c>
      <c r="C34" t="s">
        <v>35</v>
      </c>
      <c r="D34" s="14">
        <v>45784</v>
      </c>
      <c r="E34" t="s">
        <v>73</v>
      </c>
      <c r="F34">
        <v>1537551</v>
      </c>
      <c r="G34">
        <v>5</v>
      </c>
      <c r="H34" t="s">
        <v>63</v>
      </c>
      <c r="I34" t="s">
        <v>60</v>
      </c>
      <c r="J34">
        <v>94</v>
      </c>
      <c r="K34" t="s">
        <v>22</v>
      </c>
      <c r="L34">
        <v>30</v>
      </c>
      <c r="M34">
        <v>1426551</v>
      </c>
      <c r="N34">
        <v>1689681</v>
      </c>
      <c r="O34" t="s">
        <v>55</v>
      </c>
      <c r="P34" t="s">
        <v>32</v>
      </c>
    </row>
    <row r="35" spans="1:16" x14ac:dyDescent="0.25">
      <c r="A35" t="s">
        <v>67</v>
      </c>
      <c r="B35" t="s">
        <v>53</v>
      </c>
      <c r="C35" t="s">
        <v>27</v>
      </c>
      <c r="D35" s="14">
        <v>45798</v>
      </c>
      <c r="E35" t="s">
        <v>36</v>
      </c>
      <c r="F35">
        <v>1032687</v>
      </c>
      <c r="G35">
        <v>1</v>
      </c>
      <c r="H35" t="s">
        <v>20</v>
      </c>
      <c r="I35" t="s">
        <v>58</v>
      </c>
      <c r="J35">
        <v>91</v>
      </c>
      <c r="K35" t="s">
        <v>30</v>
      </c>
      <c r="L35">
        <v>45</v>
      </c>
      <c r="M35">
        <v>914840</v>
      </c>
      <c r="N35">
        <v>1178742</v>
      </c>
      <c r="O35" t="s">
        <v>78</v>
      </c>
      <c r="P35" t="s">
        <v>32</v>
      </c>
    </row>
    <row r="36" spans="1:16" x14ac:dyDescent="0.25">
      <c r="A36" t="s">
        <v>79</v>
      </c>
      <c r="B36" t="s">
        <v>68</v>
      </c>
      <c r="C36" t="s">
        <v>27</v>
      </c>
      <c r="D36" s="14">
        <v>45790</v>
      </c>
      <c r="E36" t="s">
        <v>28</v>
      </c>
      <c r="F36">
        <v>2647006</v>
      </c>
      <c r="G36">
        <v>5</v>
      </c>
      <c r="H36" t="s">
        <v>37</v>
      </c>
      <c r="I36" t="s">
        <v>71</v>
      </c>
      <c r="J36">
        <v>77</v>
      </c>
      <c r="K36" t="s">
        <v>30</v>
      </c>
      <c r="L36">
        <v>45</v>
      </c>
      <c r="M36">
        <v>2568880</v>
      </c>
      <c r="N36">
        <v>2856518</v>
      </c>
      <c r="O36" t="s">
        <v>23</v>
      </c>
      <c r="P36" t="s">
        <v>44</v>
      </c>
    </row>
    <row r="37" spans="1:16" x14ac:dyDescent="0.25">
      <c r="A37" t="s">
        <v>64</v>
      </c>
      <c r="B37" t="s">
        <v>53</v>
      </c>
      <c r="C37" t="s">
        <v>35</v>
      </c>
      <c r="D37" s="14">
        <v>45796</v>
      </c>
      <c r="E37" t="s">
        <v>54</v>
      </c>
      <c r="F37">
        <v>807975</v>
      </c>
      <c r="G37">
        <v>4</v>
      </c>
      <c r="H37" t="s">
        <v>63</v>
      </c>
      <c r="I37" t="s">
        <v>71</v>
      </c>
      <c r="J37">
        <v>93</v>
      </c>
      <c r="K37" t="s">
        <v>22</v>
      </c>
      <c r="L37">
        <v>45</v>
      </c>
      <c r="M37">
        <v>722002</v>
      </c>
      <c r="N37">
        <v>925784</v>
      </c>
      <c r="O37" t="s">
        <v>80</v>
      </c>
      <c r="P37" t="s">
        <v>24</v>
      </c>
    </row>
    <row r="38" spans="1:16" x14ac:dyDescent="0.25">
      <c r="A38" t="s">
        <v>56</v>
      </c>
      <c r="B38" t="s">
        <v>53</v>
      </c>
      <c r="C38" t="s">
        <v>27</v>
      </c>
      <c r="D38" s="14">
        <v>45735</v>
      </c>
      <c r="E38" t="s">
        <v>57</v>
      </c>
      <c r="F38">
        <v>398941</v>
      </c>
      <c r="G38">
        <v>2</v>
      </c>
      <c r="H38" t="s">
        <v>63</v>
      </c>
      <c r="I38" t="s">
        <v>29</v>
      </c>
      <c r="J38">
        <v>91</v>
      </c>
      <c r="K38" t="s">
        <v>30</v>
      </c>
      <c r="L38">
        <v>30</v>
      </c>
      <c r="M38">
        <v>219373</v>
      </c>
      <c r="N38">
        <v>565804</v>
      </c>
      <c r="O38" t="s">
        <v>69</v>
      </c>
      <c r="P38" t="s">
        <v>32</v>
      </c>
    </row>
    <row r="39" spans="1:16" x14ac:dyDescent="0.25">
      <c r="A39" t="s">
        <v>81</v>
      </c>
      <c r="B39" t="s">
        <v>53</v>
      </c>
      <c r="C39" t="s">
        <v>27</v>
      </c>
      <c r="D39" s="14">
        <v>45756</v>
      </c>
      <c r="E39" t="s">
        <v>73</v>
      </c>
      <c r="F39">
        <v>1117617</v>
      </c>
      <c r="G39">
        <v>2</v>
      </c>
      <c r="H39" t="s">
        <v>41</v>
      </c>
      <c r="I39" t="s">
        <v>46</v>
      </c>
      <c r="J39">
        <v>73</v>
      </c>
      <c r="K39" t="s">
        <v>30</v>
      </c>
      <c r="L39">
        <v>30</v>
      </c>
      <c r="M39">
        <v>1020149</v>
      </c>
      <c r="N39">
        <v>1377869</v>
      </c>
      <c r="O39" t="s">
        <v>82</v>
      </c>
      <c r="P39" t="s">
        <v>32</v>
      </c>
    </row>
    <row r="40" spans="1:16" x14ac:dyDescent="0.25">
      <c r="A40" t="s">
        <v>25</v>
      </c>
      <c r="B40" t="s">
        <v>53</v>
      </c>
      <c r="C40" t="s">
        <v>18</v>
      </c>
      <c r="D40" s="14">
        <v>45739</v>
      </c>
      <c r="E40" t="s">
        <v>28</v>
      </c>
      <c r="F40">
        <v>1882372</v>
      </c>
      <c r="G40">
        <v>5</v>
      </c>
      <c r="H40" t="s">
        <v>41</v>
      </c>
      <c r="I40" t="s">
        <v>46</v>
      </c>
      <c r="J40">
        <v>74</v>
      </c>
      <c r="K40" t="s">
        <v>22</v>
      </c>
      <c r="L40">
        <v>90</v>
      </c>
      <c r="M40">
        <v>1686579</v>
      </c>
      <c r="N40">
        <v>2060306</v>
      </c>
      <c r="O40" t="s">
        <v>23</v>
      </c>
      <c r="P40" t="s">
        <v>44</v>
      </c>
    </row>
    <row r="41" spans="1:16" x14ac:dyDescent="0.25">
      <c r="A41" t="s">
        <v>67</v>
      </c>
      <c r="B41" t="s">
        <v>40</v>
      </c>
      <c r="C41" t="s">
        <v>35</v>
      </c>
      <c r="D41" s="14">
        <v>45782</v>
      </c>
      <c r="E41" t="s">
        <v>54</v>
      </c>
      <c r="F41">
        <v>1838056</v>
      </c>
      <c r="G41">
        <v>5</v>
      </c>
      <c r="H41" t="s">
        <v>41</v>
      </c>
      <c r="I41" t="s">
        <v>38</v>
      </c>
      <c r="J41">
        <v>61</v>
      </c>
      <c r="K41" t="s">
        <v>22</v>
      </c>
      <c r="L41">
        <v>30</v>
      </c>
      <c r="M41">
        <v>1658252</v>
      </c>
      <c r="N41">
        <v>1901917</v>
      </c>
      <c r="O41" t="s">
        <v>23</v>
      </c>
      <c r="P41" t="s">
        <v>24</v>
      </c>
    </row>
    <row r="42" spans="1:16" x14ac:dyDescent="0.25">
      <c r="A42" t="s">
        <v>74</v>
      </c>
      <c r="B42" t="s">
        <v>34</v>
      </c>
      <c r="C42" t="s">
        <v>35</v>
      </c>
      <c r="D42" s="14">
        <v>45686</v>
      </c>
      <c r="E42" t="s">
        <v>73</v>
      </c>
      <c r="F42">
        <v>2028151</v>
      </c>
      <c r="G42">
        <v>3</v>
      </c>
      <c r="H42" t="s">
        <v>37</v>
      </c>
      <c r="I42" t="s">
        <v>38</v>
      </c>
      <c r="J42">
        <v>85</v>
      </c>
      <c r="K42" t="s">
        <v>22</v>
      </c>
      <c r="L42">
        <v>30</v>
      </c>
      <c r="M42">
        <v>1960920</v>
      </c>
      <c r="N42">
        <v>2184092</v>
      </c>
      <c r="O42" t="s">
        <v>78</v>
      </c>
      <c r="P42" t="s">
        <v>24</v>
      </c>
    </row>
    <row r="43" spans="1:16" x14ac:dyDescent="0.25">
      <c r="A43" t="s">
        <v>25</v>
      </c>
      <c r="B43" t="s">
        <v>40</v>
      </c>
      <c r="C43" t="s">
        <v>49</v>
      </c>
      <c r="D43" s="14">
        <v>45669</v>
      </c>
      <c r="E43" t="s">
        <v>19</v>
      </c>
      <c r="F43">
        <v>1928578</v>
      </c>
      <c r="G43">
        <v>2</v>
      </c>
      <c r="H43" t="s">
        <v>37</v>
      </c>
      <c r="I43" t="s">
        <v>29</v>
      </c>
      <c r="J43">
        <v>86</v>
      </c>
      <c r="K43" t="s">
        <v>22</v>
      </c>
      <c r="L43">
        <v>30</v>
      </c>
      <c r="M43">
        <v>1844409</v>
      </c>
      <c r="N43">
        <v>2200068</v>
      </c>
      <c r="O43" t="s">
        <v>69</v>
      </c>
      <c r="P43" t="s">
        <v>24</v>
      </c>
    </row>
    <row r="44" spans="1:16" x14ac:dyDescent="0.25">
      <c r="A44" t="s">
        <v>83</v>
      </c>
      <c r="B44" t="s">
        <v>68</v>
      </c>
      <c r="C44" t="s">
        <v>18</v>
      </c>
      <c r="D44" s="14">
        <v>45758</v>
      </c>
      <c r="E44" t="s">
        <v>54</v>
      </c>
      <c r="F44">
        <v>556327</v>
      </c>
      <c r="G44">
        <v>5</v>
      </c>
      <c r="H44" t="s">
        <v>41</v>
      </c>
      <c r="I44" t="s">
        <v>60</v>
      </c>
      <c r="J44">
        <v>90</v>
      </c>
      <c r="K44" t="s">
        <v>22</v>
      </c>
      <c r="L44">
        <v>45</v>
      </c>
      <c r="M44">
        <v>374758</v>
      </c>
      <c r="N44">
        <v>663310</v>
      </c>
      <c r="O44" t="s">
        <v>77</v>
      </c>
      <c r="P44" t="s">
        <v>32</v>
      </c>
    </row>
    <row r="45" spans="1:16" x14ac:dyDescent="0.25">
      <c r="A45" t="s">
        <v>45</v>
      </c>
      <c r="B45" t="s">
        <v>17</v>
      </c>
      <c r="C45" t="s">
        <v>35</v>
      </c>
      <c r="D45" s="14">
        <v>45684</v>
      </c>
      <c r="E45" t="s">
        <v>50</v>
      </c>
      <c r="F45">
        <v>2183896</v>
      </c>
      <c r="G45">
        <v>2</v>
      </c>
      <c r="H45" t="s">
        <v>63</v>
      </c>
      <c r="I45" t="s">
        <v>38</v>
      </c>
      <c r="J45">
        <v>59</v>
      </c>
      <c r="K45" t="s">
        <v>22</v>
      </c>
      <c r="L45">
        <v>90</v>
      </c>
      <c r="M45">
        <v>2081920</v>
      </c>
      <c r="N45">
        <v>2391228</v>
      </c>
      <c r="O45" t="s">
        <v>23</v>
      </c>
      <c r="P45" t="s">
        <v>44</v>
      </c>
    </row>
    <row r="46" spans="1:16" x14ac:dyDescent="0.25">
      <c r="A46" t="s">
        <v>81</v>
      </c>
      <c r="B46" t="s">
        <v>62</v>
      </c>
      <c r="C46" t="s">
        <v>35</v>
      </c>
      <c r="D46" s="14">
        <v>45687</v>
      </c>
      <c r="E46" t="s">
        <v>73</v>
      </c>
      <c r="F46">
        <v>2655788</v>
      </c>
      <c r="G46">
        <v>5</v>
      </c>
      <c r="H46" t="s">
        <v>20</v>
      </c>
      <c r="I46" t="s">
        <v>29</v>
      </c>
      <c r="J46">
        <v>85</v>
      </c>
      <c r="K46" t="s">
        <v>22</v>
      </c>
      <c r="L46">
        <v>45</v>
      </c>
      <c r="M46">
        <v>2488805</v>
      </c>
      <c r="N46">
        <v>2747710</v>
      </c>
      <c r="O46" t="s">
        <v>51</v>
      </c>
      <c r="P46" t="s">
        <v>32</v>
      </c>
    </row>
    <row r="47" spans="1:16" x14ac:dyDescent="0.25">
      <c r="A47" t="s">
        <v>81</v>
      </c>
      <c r="B47" t="s">
        <v>62</v>
      </c>
      <c r="C47" t="s">
        <v>35</v>
      </c>
      <c r="D47" s="14">
        <v>45745</v>
      </c>
      <c r="E47" t="s">
        <v>73</v>
      </c>
      <c r="F47">
        <v>2342774</v>
      </c>
      <c r="G47">
        <v>1</v>
      </c>
      <c r="H47" t="s">
        <v>20</v>
      </c>
      <c r="I47" t="s">
        <v>58</v>
      </c>
      <c r="J47">
        <v>77</v>
      </c>
      <c r="K47" t="s">
        <v>22</v>
      </c>
      <c r="L47">
        <v>30</v>
      </c>
      <c r="M47">
        <v>2267998</v>
      </c>
      <c r="N47">
        <v>2543784</v>
      </c>
      <c r="O47" t="s">
        <v>84</v>
      </c>
      <c r="P47" t="s">
        <v>44</v>
      </c>
    </row>
    <row r="48" spans="1:16" x14ac:dyDescent="0.25">
      <c r="A48" t="s">
        <v>59</v>
      </c>
      <c r="B48" t="s">
        <v>34</v>
      </c>
      <c r="C48" t="s">
        <v>49</v>
      </c>
      <c r="D48" s="14">
        <v>45786</v>
      </c>
      <c r="E48" t="s">
        <v>28</v>
      </c>
      <c r="F48">
        <v>1513518</v>
      </c>
      <c r="G48">
        <v>5</v>
      </c>
      <c r="H48" t="s">
        <v>41</v>
      </c>
      <c r="I48" t="s">
        <v>60</v>
      </c>
      <c r="J48">
        <v>71</v>
      </c>
      <c r="K48" t="s">
        <v>22</v>
      </c>
      <c r="L48">
        <v>45</v>
      </c>
      <c r="M48">
        <v>1321925</v>
      </c>
      <c r="N48">
        <v>1803424</v>
      </c>
      <c r="O48" t="s">
        <v>39</v>
      </c>
      <c r="P48" t="s">
        <v>44</v>
      </c>
    </row>
    <row r="49" spans="1:16" x14ac:dyDescent="0.25">
      <c r="A49" t="s">
        <v>45</v>
      </c>
      <c r="B49" t="s">
        <v>53</v>
      </c>
      <c r="C49" t="s">
        <v>18</v>
      </c>
      <c r="D49" s="14">
        <v>45730</v>
      </c>
      <c r="E49" t="s">
        <v>54</v>
      </c>
      <c r="F49">
        <v>1048160</v>
      </c>
      <c r="G49">
        <v>3</v>
      </c>
      <c r="H49" t="s">
        <v>37</v>
      </c>
      <c r="I49" t="s">
        <v>21</v>
      </c>
      <c r="J49">
        <v>84</v>
      </c>
      <c r="K49" t="s">
        <v>22</v>
      </c>
      <c r="L49">
        <v>30</v>
      </c>
      <c r="M49">
        <v>867664</v>
      </c>
      <c r="N49">
        <v>1311553</v>
      </c>
      <c r="O49" t="s">
        <v>80</v>
      </c>
      <c r="P49" t="s">
        <v>44</v>
      </c>
    </row>
    <row r="50" spans="1:16" x14ac:dyDescent="0.25">
      <c r="A50" t="s">
        <v>66</v>
      </c>
      <c r="B50" t="s">
        <v>26</v>
      </c>
      <c r="C50" t="s">
        <v>27</v>
      </c>
      <c r="D50" s="14">
        <v>45739</v>
      </c>
      <c r="E50" t="s">
        <v>19</v>
      </c>
      <c r="F50">
        <v>1714268</v>
      </c>
      <c r="G50">
        <v>2</v>
      </c>
      <c r="H50" t="s">
        <v>37</v>
      </c>
      <c r="I50" t="s">
        <v>29</v>
      </c>
      <c r="J50">
        <v>78</v>
      </c>
      <c r="K50" t="s">
        <v>30</v>
      </c>
      <c r="L50">
        <v>45</v>
      </c>
      <c r="M50">
        <v>1615710</v>
      </c>
      <c r="N50">
        <v>1917325</v>
      </c>
      <c r="O50" t="s">
        <v>82</v>
      </c>
      <c r="P50" t="s">
        <v>44</v>
      </c>
    </row>
    <row r="51" spans="1:16" x14ac:dyDescent="0.25">
      <c r="A51" t="s">
        <v>16</v>
      </c>
      <c r="B51" t="s">
        <v>68</v>
      </c>
      <c r="C51" t="s">
        <v>18</v>
      </c>
      <c r="D51" s="14">
        <v>45696</v>
      </c>
      <c r="E51" t="s">
        <v>28</v>
      </c>
      <c r="F51">
        <v>862006</v>
      </c>
      <c r="G51">
        <v>6</v>
      </c>
      <c r="H51" t="s">
        <v>20</v>
      </c>
      <c r="I51" t="s">
        <v>42</v>
      </c>
      <c r="J51">
        <v>70</v>
      </c>
      <c r="K51" t="s">
        <v>22</v>
      </c>
      <c r="L51">
        <v>60</v>
      </c>
      <c r="M51">
        <v>689456</v>
      </c>
      <c r="N51">
        <v>983201</v>
      </c>
      <c r="O51" t="s">
        <v>47</v>
      </c>
      <c r="P51" t="s">
        <v>24</v>
      </c>
    </row>
    <row r="52" spans="1:16" x14ac:dyDescent="0.25">
      <c r="A52" t="s">
        <v>67</v>
      </c>
      <c r="B52" t="s">
        <v>17</v>
      </c>
      <c r="C52" t="s">
        <v>18</v>
      </c>
      <c r="D52" s="14">
        <v>45728</v>
      </c>
      <c r="E52" t="s">
        <v>28</v>
      </c>
      <c r="F52">
        <v>1010582</v>
      </c>
      <c r="G52">
        <v>2</v>
      </c>
      <c r="H52" t="s">
        <v>63</v>
      </c>
      <c r="I52" t="s">
        <v>29</v>
      </c>
      <c r="J52">
        <v>76</v>
      </c>
      <c r="K52" t="s">
        <v>22</v>
      </c>
      <c r="L52">
        <v>90</v>
      </c>
      <c r="M52">
        <v>920590</v>
      </c>
      <c r="N52">
        <v>1135027</v>
      </c>
      <c r="O52" t="s">
        <v>85</v>
      </c>
      <c r="P52" t="s">
        <v>24</v>
      </c>
    </row>
    <row r="53" spans="1:16" x14ac:dyDescent="0.25">
      <c r="A53" t="s">
        <v>64</v>
      </c>
      <c r="B53" t="s">
        <v>40</v>
      </c>
      <c r="C53" t="s">
        <v>49</v>
      </c>
      <c r="D53" s="14">
        <v>45787</v>
      </c>
      <c r="E53" t="s">
        <v>57</v>
      </c>
      <c r="F53">
        <v>430792</v>
      </c>
      <c r="G53">
        <v>1</v>
      </c>
      <c r="H53" t="s">
        <v>20</v>
      </c>
      <c r="I53" t="s">
        <v>71</v>
      </c>
      <c r="J53">
        <v>81</v>
      </c>
      <c r="K53" t="s">
        <v>22</v>
      </c>
      <c r="L53">
        <v>90</v>
      </c>
      <c r="M53">
        <v>273871</v>
      </c>
      <c r="N53">
        <v>577803</v>
      </c>
      <c r="O53" t="s">
        <v>85</v>
      </c>
      <c r="P53" t="s">
        <v>24</v>
      </c>
    </row>
    <row r="54" spans="1:16" x14ac:dyDescent="0.25">
      <c r="A54" t="s">
        <v>48</v>
      </c>
      <c r="B54" t="s">
        <v>26</v>
      </c>
      <c r="C54" t="s">
        <v>27</v>
      </c>
      <c r="D54" s="14">
        <v>45658</v>
      </c>
      <c r="E54" t="s">
        <v>28</v>
      </c>
      <c r="F54">
        <v>2166324</v>
      </c>
      <c r="G54">
        <v>1</v>
      </c>
      <c r="H54" t="s">
        <v>37</v>
      </c>
      <c r="I54" t="s">
        <v>58</v>
      </c>
      <c r="J54">
        <v>88</v>
      </c>
      <c r="K54" t="s">
        <v>30</v>
      </c>
      <c r="L54">
        <v>30</v>
      </c>
      <c r="M54">
        <v>2038746</v>
      </c>
      <c r="N54">
        <v>2279953</v>
      </c>
      <c r="O54" t="s">
        <v>23</v>
      </c>
      <c r="P54" t="s">
        <v>44</v>
      </c>
    </row>
    <row r="55" spans="1:16" x14ac:dyDescent="0.25">
      <c r="A55" t="s">
        <v>64</v>
      </c>
      <c r="B55" t="s">
        <v>53</v>
      </c>
      <c r="C55" t="s">
        <v>35</v>
      </c>
      <c r="D55" s="14">
        <v>45706</v>
      </c>
      <c r="E55" t="s">
        <v>19</v>
      </c>
      <c r="F55">
        <v>1439843</v>
      </c>
      <c r="G55">
        <v>4</v>
      </c>
      <c r="H55" t="s">
        <v>20</v>
      </c>
      <c r="I55" t="s">
        <v>42</v>
      </c>
      <c r="J55">
        <v>55</v>
      </c>
      <c r="K55" t="s">
        <v>22</v>
      </c>
      <c r="L55">
        <v>30</v>
      </c>
      <c r="M55">
        <v>1252898</v>
      </c>
      <c r="N55">
        <v>1698637</v>
      </c>
      <c r="O55" t="s">
        <v>43</v>
      </c>
      <c r="P55" t="s">
        <v>44</v>
      </c>
    </row>
    <row r="56" spans="1:16" x14ac:dyDescent="0.25">
      <c r="A56" t="s">
        <v>52</v>
      </c>
      <c r="B56" t="s">
        <v>68</v>
      </c>
      <c r="C56" t="s">
        <v>35</v>
      </c>
      <c r="D56" s="14">
        <v>45659</v>
      </c>
      <c r="E56" t="s">
        <v>50</v>
      </c>
      <c r="F56">
        <v>1916647</v>
      </c>
      <c r="G56">
        <v>3</v>
      </c>
      <c r="H56" t="s">
        <v>37</v>
      </c>
      <c r="I56" t="s">
        <v>46</v>
      </c>
      <c r="J56">
        <v>91</v>
      </c>
      <c r="K56" t="s">
        <v>22</v>
      </c>
      <c r="L56">
        <v>30</v>
      </c>
      <c r="M56">
        <v>1851978</v>
      </c>
      <c r="N56">
        <v>2089665</v>
      </c>
      <c r="O56" t="s">
        <v>65</v>
      </c>
      <c r="P56" t="s">
        <v>32</v>
      </c>
    </row>
    <row r="57" spans="1:16" x14ac:dyDescent="0.25">
      <c r="A57" t="s">
        <v>74</v>
      </c>
      <c r="B57" t="s">
        <v>62</v>
      </c>
      <c r="C57" t="s">
        <v>27</v>
      </c>
      <c r="D57" s="14">
        <v>45746</v>
      </c>
      <c r="E57" t="s">
        <v>57</v>
      </c>
      <c r="F57">
        <v>895179</v>
      </c>
      <c r="G57">
        <v>1</v>
      </c>
      <c r="H57" t="s">
        <v>37</v>
      </c>
      <c r="I57" t="s">
        <v>71</v>
      </c>
      <c r="J57">
        <v>90</v>
      </c>
      <c r="K57" t="s">
        <v>30</v>
      </c>
      <c r="L57">
        <v>60</v>
      </c>
      <c r="M57">
        <v>814693</v>
      </c>
      <c r="N57">
        <v>1039681</v>
      </c>
      <c r="O57" t="s">
        <v>78</v>
      </c>
      <c r="P57" t="s">
        <v>44</v>
      </c>
    </row>
    <row r="58" spans="1:16" x14ac:dyDescent="0.25">
      <c r="A58" t="s">
        <v>67</v>
      </c>
      <c r="B58" t="s">
        <v>26</v>
      </c>
      <c r="C58" t="s">
        <v>18</v>
      </c>
      <c r="D58" s="14">
        <v>45662</v>
      </c>
      <c r="E58" t="s">
        <v>57</v>
      </c>
      <c r="F58">
        <v>2272378</v>
      </c>
      <c r="G58">
        <v>3</v>
      </c>
      <c r="H58" t="s">
        <v>20</v>
      </c>
      <c r="I58" t="s">
        <v>42</v>
      </c>
      <c r="J58">
        <v>83</v>
      </c>
      <c r="K58" t="s">
        <v>22</v>
      </c>
      <c r="L58">
        <v>60</v>
      </c>
      <c r="M58">
        <v>2102426</v>
      </c>
      <c r="N58">
        <v>2560414</v>
      </c>
      <c r="O58" t="s">
        <v>43</v>
      </c>
      <c r="P58" t="s">
        <v>44</v>
      </c>
    </row>
    <row r="59" spans="1:16" x14ac:dyDescent="0.25">
      <c r="A59" t="s">
        <v>59</v>
      </c>
      <c r="B59" t="s">
        <v>68</v>
      </c>
      <c r="C59" t="s">
        <v>49</v>
      </c>
      <c r="D59" s="14">
        <v>45712</v>
      </c>
      <c r="E59" t="s">
        <v>28</v>
      </c>
      <c r="F59">
        <v>1453968</v>
      </c>
      <c r="G59">
        <v>5</v>
      </c>
      <c r="H59" t="s">
        <v>37</v>
      </c>
      <c r="I59" t="s">
        <v>21</v>
      </c>
      <c r="J59">
        <v>64</v>
      </c>
      <c r="K59" t="s">
        <v>22</v>
      </c>
      <c r="L59">
        <v>45</v>
      </c>
      <c r="M59">
        <v>1401898</v>
      </c>
      <c r="N59">
        <v>1637603</v>
      </c>
      <c r="O59" t="s">
        <v>72</v>
      </c>
      <c r="P59" t="s">
        <v>24</v>
      </c>
    </row>
    <row r="60" spans="1:16" x14ac:dyDescent="0.25">
      <c r="A60" t="s">
        <v>45</v>
      </c>
      <c r="B60" t="s">
        <v>34</v>
      </c>
      <c r="C60" t="s">
        <v>18</v>
      </c>
      <c r="D60" s="14">
        <v>45716</v>
      </c>
      <c r="E60" t="s">
        <v>19</v>
      </c>
      <c r="F60">
        <v>2609904</v>
      </c>
      <c r="G60">
        <v>6</v>
      </c>
      <c r="H60" t="s">
        <v>41</v>
      </c>
      <c r="I60" t="s">
        <v>21</v>
      </c>
      <c r="J60">
        <v>56</v>
      </c>
      <c r="K60" t="s">
        <v>22</v>
      </c>
      <c r="L60">
        <v>90</v>
      </c>
      <c r="M60">
        <v>2535224</v>
      </c>
      <c r="N60">
        <v>2849844</v>
      </c>
      <c r="O60" t="s">
        <v>80</v>
      </c>
      <c r="P60" t="s">
        <v>32</v>
      </c>
    </row>
    <row r="61" spans="1:16" x14ac:dyDescent="0.25">
      <c r="A61" t="s">
        <v>48</v>
      </c>
      <c r="B61" t="s">
        <v>53</v>
      </c>
      <c r="C61" t="s">
        <v>27</v>
      </c>
      <c r="D61" s="14">
        <v>45758</v>
      </c>
      <c r="E61" t="s">
        <v>73</v>
      </c>
      <c r="F61">
        <v>2477087</v>
      </c>
      <c r="G61">
        <v>6</v>
      </c>
      <c r="H61" t="s">
        <v>37</v>
      </c>
      <c r="I61" t="s">
        <v>46</v>
      </c>
      <c r="J61">
        <v>82</v>
      </c>
      <c r="K61" t="s">
        <v>30</v>
      </c>
      <c r="L61">
        <v>60</v>
      </c>
      <c r="M61">
        <v>2338612</v>
      </c>
      <c r="N61">
        <v>2568677</v>
      </c>
      <c r="O61" t="s">
        <v>86</v>
      </c>
      <c r="P61" t="s">
        <v>32</v>
      </c>
    </row>
    <row r="62" spans="1:16" x14ac:dyDescent="0.25">
      <c r="A62" t="s">
        <v>59</v>
      </c>
      <c r="B62" t="s">
        <v>34</v>
      </c>
      <c r="C62" t="s">
        <v>35</v>
      </c>
      <c r="D62" s="14">
        <v>45743</v>
      </c>
      <c r="E62" t="s">
        <v>54</v>
      </c>
      <c r="F62">
        <v>891309</v>
      </c>
      <c r="G62">
        <v>3</v>
      </c>
      <c r="H62" t="s">
        <v>37</v>
      </c>
      <c r="I62" t="s">
        <v>29</v>
      </c>
      <c r="J62">
        <v>58</v>
      </c>
      <c r="K62" t="s">
        <v>22</v>
      </c>
      <c r="L62">
        <v>30</v>
      </c>
      <c r="M62">
        <v>714186</v>
      </c>
      <c r="N62">
        <v>1187599</v>
      </c>
      <c r="O62" t="s">
        <v>47</v>
      </c>
      <c r="P62" t="s">
        <v>44</v>
      </c>
    </row>
    <row r="63" spans="1:16" x14ac:dyDescent="0.25">
      <c r="A63" t="s">
        <v>87</v>
      </c>
      <c r="B63" t="s">
        <v>40</v>
      </c>
      <c r="C63" t="s">
        <v>18</v>
      </c>
      <c r="D63" s="14">
        <v>45658</v>
      </c>
      <c r="E63" t="s">
        <v>54</v>
      </c>
      <c r="F63">
        <v>2647800</v>
      </c>
      <c r="G63">
        <v>2</v>
      </c>
      <c r="H63" t="s">
        <v>41</v>
      </c>
      <c r="I63" t="s">
        <v>38</v>
      </c>
      <c r="J63">
        <v>79</v>
      </c>
      <c r="K63" t="s">
        <v>22</v>
      </c>
      <c r="L63">
        <v>45</v>
      </c>
      <c r="M63">
        <v>2566223</v>
      </c>
      <c r="N63">
        <v>2887576</v>
      </c>
      <c r="O63" t="s">
        <v>72</v>
      </c>
      <c r="P63" t="s">
        <v>44</v>
      </c>
    </row>
    <row r="64" spans="1:16" x14ac:dyDescent="0.25">
      <c r="A64" t="s">
        <v>79</v>
      </c>
      <c r="B64" t="s">
        <v>17</v>
      </c>
      <c r="C64" t="s">
        <v>18</v>
      </c>
      <c r="D64" s="14">
        <v>45785</v>
      </c>
      <c r="E64" t="s">
        <v>54</v>
      </c>
      <c r="F64">
        <v>448465</v>
      </c>
      <c r="G64">
        <v>5</v>
      </c>
      <c r="H64" t="s">
        <v>63</v>
      </c>
      <c r="I64" t="s">
        <v>46</v>
      </c>
      <c r="J64">
        <v>62</v>
      </c>
      <c r="K64" t="s">
        <v>22</v>
      </c>
      <c r="L64">
        <v>30</v>
      </c>
      <c r="M64">
        <v>362250</v>
      </c>
      <c r="N64">
        <v>626460</v>
      </c>
      <c r="O64" t="s">
        <v>85</v>
      </c>
      <c r="P64" t="s">
        <v>32</v>
      </c>
    </row>
    <row r="65" spans="1:16" x14ac:dyDescent="0.25">
      <c r="A65" t="s">
        <v>74</v>
      </c>
      <c r="B65" t="s">
        <v>40</v>
      </c>
      <c r="C65" t="s">
        <v>35</v>
      </c>
      <c r="D65" s="14">
        <v>45783</v>
      </c>
      <c r="E65" t="s">
        <v>50</v>
      </c>
      <c r="F65">
        <v>1693295</v>
      </c>
      <c r="G65">
        <v>5</v>
      </c>
      <c r="H65" t="s">
        <v>37</v>
      </c>
      <c r="I65" t="s">
        <v>21</v>
      </c>
      <c r="J65">
        <v>79</v>
      </c>
      <c r="K65" t="s">
        <v>22</v>
      </c>
      <c r="L65">
        <v>90</v>
      </c>
      <c r="M65">
        <v>1504223</v>
      </c>
      <c r="N65">
        <v>1983203</v>
      </c>
      <c r="O65" t="s">
        <v>43</v>
      </c>
      <c r="P65" t="s">
        <v>32</v>
      </c>
    </row>
    <row r="66" spans="1:16" x14ac:dyDescent="0.25">
      <c r="A66" t="s">
        <v>25</v>
      </c>
      <c r="B66" t="s">
        <v>60</v>
      </c>
      <c r="C66" t="s">
        <v>27</v>
      </c>
      <c r="D66" s="14">
        <v>45688</v>
      </c>
      <c r="E66" t="s">
        <v>50</v>
      </c>
      <c r="F66">
        <v>526572</v>
      </c>
      <c r="G66">
        <v>1</v>
      </c>
      <c r="H66" t="s">
        <v>37</v>
      </c>
      <c r="I66" t="s">
        <v>60</v>
      </c>
      <c r="J66">
        <v>93</v>
      </c>
      <c r="K66" t="s">
        <v>30</v>
      </c>
      <c r="L66">
        <v>30</v>
      </c>
      <c r="M66">
        <v>430934</v>
      </c>
      <c r="N66">
        <v>768986</v>
      </c>
      <c r="O66" t="s">
        <v>51</v>
      </c>
      <c r="P66" t="s">
        <v>44</v>
      </c>
    </row>
    <row r="67" spans="1:16" x14ac:dyDescent="0.25">
      <c r="A67" t="s">
        <v>16</v>
      </c>
      <c r="B67" t="s">
        <v>34</v>
      </c>
      <c r="C67" t="s">
        <v>27</v>
      </c>
      <c r="D67" s="14">
        <v>45762</v>
      </c>
      <c r="E67" t="s">
        <v>19</v>
      </c>
      <c r="F67">
        <v>2489807</v>
      </c>
      <c r="G67">
        <v>5</v>
      </c>
      <c r="H67" t="s">
        <v>41</v>
      </c>
      <c r="I67" t="s">
        <v>29</v>
      </c>
      <c r="J67">
        <v>95</v>
      </c>
      <c r="K67" t="s">
        <v>30</v>
      </c>
      <c r="L67">
        <v>90</v>
      </c>
      <c r="M67">
        <v>2338706</v>
      </c>
      <c r="N67">
        <v>2763572</v>
      </c>
      <c r="O67" t="s">
        <v>65</v>
      </c>
      <c r="P67" t="s">
        <v>32</v>
      </c>
    </row>
    <row r="68" spans="1:16" x14ac:dyDescent="0.25">
      <c r="A68" t="s">
        <v>83</v>
      </c>
      <c r="B68" t="s">
        <v>40</v>
      </c>
      <c r="C68" t="s">
        <v>49</v>
      </c>
      <c r="D68" s="14">
        <v>45740</v>
      </c>
      <c r="E68" t="s">
        <v>28</v>
      </c>
      <c r="F68">
        <v>2672389</v>
      </c>
      <c r="G68">
        <v>1</v>
      </c>
      <c r="H68" t="s">
        <v>63</v>
      </c>
      <c r="I68" t="s">
        <v>42</v>
      </c>
      <c r="J68">
        <v>89</v>
      </c>
      <c r="K68" t="s">
        <v>22</v>
      </c>
      <c r="L68">
        <v>30</v>
      </c>
      <c r="M68">
        <v>2528844</v>
      </c>
      <c r="N68">
        <v>2830271</v>
      </c>
      <c r="O68" t="s">
        <v>72</v>
      </c>
      <c r="P68" t="s">
        <v>24</v>
      </c>
    </row>
    <row r="69" spans="1:16" x14ac:dyDescent="0.25">
      <c r="A69" t="s">
        <v>67</v>
      </c>
      <c r="B69" t="s">
        <v>26</v>
      </c>
      <c r="C69" t="s">
        <v>49</v>
      </c>
      <c r="D69" s="14">
        <v>45780</v>
      </c>
      <c r="E69" t="s">
        <v>36</v>
      </c>
      <c r="F69">
        <v>1088535</v>
      </c>
      <c r="G69">
        <v>4</v>
      </c>
      <c r="H69" t="s">
        <v>37</v>
      </c>
      <c r="I69" t="s">
        <v>58</v>
      </c>
      <c r="J69">
        <v>77</v>
      </c>
      <c r="K69" t="s">
        <v>22</v>
      </c>
      <c r="L69">
        <v>45</v>
      </c>
      <c r="M69">
        <v>895524</v>
      </c>
      <c r="N69">
        <v>1290474</v>
      </c>
      <c r="O69" t="s">
        <v>85</v>
      </c>
      <c r="P69" t="s">
        <v>32</v>
      </c>
    </row>
    <row r="70" spans="1:16" x14ac:dyDescent="0.25">
      <c r="A70" t="s">
        <v>33</v>
      </c>
      <c r="B70" t="s">
        <v>40</v>
      </c>
      <c r="C70" t="s">
        <v>27</v>
      </c>
      <c r="D70" s="14">
        <v>45667</v>
      </c>
      <c r="E70" t="s">
        <v>19</v>
      </c>
      <c r="F70">
        <v>1475849</v>
      </c>
      <c r="G70">
        <v>4</v>
      </c>
      <c r="H70" t="s">
        <v>37</v>
      </c>
      <c r="I70" t="s">
        <v>38</v>
      </c>
      <c r="J70">
        <v>60</v>
      </c>
      <c r="K70" t="s">
        <v>30</v>
      </c>
      <c r="L70">
        <v>90</v>
      </c>
      <c r="M70">
        <v>1291403</v>
      </c>
      <c r="N70">
        <v>1610616</v>
      </c>
      <c r="O70" t="s">
        <v>84</v>
      </c>
      <c r="P70" t="s">
        <v>44</v>
      </c>
    </row>
    <row r="71" spans="1:16" x14ac:dyDescent="0.25">
      <c r="A71" t="s">
        <v>33</v>
      </c>
      <c r="B71" t="s">
        <v>17</v>
      </c>
      <c r="C71" t="s">
        <v>35</v>
      </c>
      <c r="D71" s="14">
        <v>45710</v>
      </c>
      <c r="E71" t="s">
        <v>28</v>
      </c>
      <c r="F71">
        <v>1592737</v>
      </c>
      <c r="G71">
        <v>5</v>
      </c>
      <c r="H71" t="s">
        <v>20</v>
      </c>
      <c r="I71" t="s">
        <v>46</v>
      </c>
      <c r="J71">
        <v>81</v>
      </c>
      <c r="K71" t="s">
        <v>22</v>
      </c>
      <c r="L71">
        <v>90</v>
      </c>
      <c r="M71">
        <v>1538043</v>
      </c>
      <c r="N71">
        <v>1719080</v>
      </c>
      <c r="O71" t="s">
        <v>78</v>
      </c>
      <c r="P71" t="s">
        <v>24</v>
      </c>
    </row>
    <row r="72" spans="1:16" x14ac:dyDescent="0.25">
      <c r="A72" t="s">
        <v>87</v>
      </c>
      <c r="B72" t="s">
        <v>34</v>
      </c>
      <c r="C72" t="s">
        <v>18</v>
      </c>
      <c r="D72" s="14">
        <v>45768</v>
      </c>
      <c r="E72" t="s">
        <v>54</v>
      </c>
      <c r="F72">
        <v>2158645</v>
      </c>
      <c r="G72">
        <v>1</v>
      </c>
      <c r="H72" t="s">
        <v>37</v>
      </c>
      <c r="I72" t="s">
        <v>60</v>
      </c>
      <c r="J72">
        <v>56</v>
      </c>
      <c r="K72" t="s">
        <v>22</v>
      </c>
      <c r="L72">
        <v>90</v>
      </c>
      <c r="M72">
        <v>2009935</v>
      </c>
      <c r="N72">
        <v>2451618</v>
      </c>
      <c r="O72" t="s">
        <v>75</v>
      </c>
      <c r="P72" t="s">
        <v>44</v>
      </c>
    </row>
    <row r="73" spans="1:16" x14ac:dyDescent="0.25">
      <c r="A73" t="s">
        <v>88</v>
      </c>
      <c r="B73" t="s">
        <v>17</v>
      </c>
      <c r="C73" t="s">
        <v>49</v>
      </c>
      <c r="D73" s="14">
        <v>45675</v>
      </c>
      <c r="E73" t="s">
        <v>36</v>
      </c>
      <c r="F73">
        <v>1592337</v>
      </c>
      <c r="G73">
        <v>6</v>
      </c>
      <c r="H73" t="s">
        <v>37</v>
      </c>
      <c r="I73" t="s">
        <v>60</v>
      </c>
      <c r="J73">
        <v>81</v>
      </c>
      <c r="K73" t="s">
        <v>22</v>
      </c>
      <c r="L73">
        <v>45</v>
      </c>
      <c r="M73">
        <v>1456117</v>
      </c>
      <c r="N73">
        <v>1741967</v>
      </c>
      <c r="O73" t="s">
        <v>77</v>
      </c>
      <c r="P73" t="s">
        <v>44</v>
      </c>
    </row>
    <row r="74" spans="1:16" x14ac:dyDescent="0.25">
      <c r="A74" t="s">
        <v>56</v>
      </c>
      <c r="B74" t="s">
        <v>53</v>
      </c>
      <c r="C74" t="s">
        <v>35</v>
      </c>
      <c r="D74" s="14">
        <v>45792</v>
      </c>
      <c r="E74" t="s">
        <v>36</v>
      </c>
      <c r="F74">
        <v>1398381</v>
      </c>
      <c r="G74">
        <v>2</v>
      </c>
      <c r="H74" t="s">
        <v>37</v>
      </c>
      <c r="I74" t="s">
        <v>42</v>
      </c>
      <c r="J74">
        <v>66</v>
      </c>
      <c r="K74" t="s">
        <v>22</v>
      </c>
      <c r="L74">
        <v>45</v>
      </c>
      <c r="M74">
        <v>1320423</v>
      </c>
      <c r="N74">
        <v>1685928</v>
      </c>
      <c r="O74" t="s">
        <v>75</v>
      </c>
      <c r="P74" t="s">
        <v>24</v>
      </c>
    </row>
    <row r="75" spans="1:16" x14ac:dyDescent="0.25">
      <c r="A75" t="s">
        <v>45</v>
      </c>
      <c r="B75" t="s">
        <v>62</v>
      </c>
      <c r="C75" t="s">
        <v>49</v>
      </c>
      <c r="D75" s="14">
        <v>45663</v>
      </c>
      <c r="E75" t="s">
        <v>54</v>
      </c>
      <c r="F75">
        <v>2107547</v>
      </c>
      <c r="G75">
        <v>5</v>
      </c>
      <c r="H75" t="s">
        <v>20</v>
      </c>
      <c r="I75" t="s">
        <v>60</v>
      </c>
      <c r="J75">
        <v>76</v>
      </c>
      <c r="K75" t="s">
        <v>22</v>
      </c>
      <c r="L75">
        <v>45</v>
      </c>
      <c r="M75">
        <v>1938729</v>
      </c>
      <c r="N75">
        <v>2199661</v>
      </c>
      <c r="O75" t="s">
        <v>72</v>
      </c>
      <c r="P75" t="s">
        <v>24</v>
      </c>
    </row>
    <row r="76" spans="1:16" x14ac:dyDescent="0.25">
      <c r="A76" t="s">
        <v>59</v>
      </c>
      <c r="B76" t="s">
        <v>60</v>
      </c>
      <c r="C76" t="s">
        <v>27</v>
      </c>
      <c r="D76" s="14">
        <v>45727</v>
      </c>
      <c r="E76" t="s">
        <v>57</v>
      </c>
      <c r="F76">
        <v>2405516</v>
      </c>
      <c r="G76">
        <v>4</v>
      </c>
      <c r="H76" t="s">
        <v>63</v>
      </c>
      <c r="I76" t="s">
        <v>46</v>
      </c>
      <c r="J76">
        <v>80</v>
      </c>
      <c r="K76" t="s">
        <v>30</v>
      </c>
      <c r="L76">
        <v>60</v>
      </c>
      <c r="M76">
        <v>2264741</v>
      </c>
      <c r="N76">
        <v>2461490</v>
      </c>
      <c r="O76" t="s">
        <v>76</v>
      </c>
      <c r="P76" t="s">
        <v>32</v>
      </c>
    </row>
    <row r="77" spans="1:16" x14ac:dyDescent="0.25">
      <c r="A77" t="s">
        <v>88</v>
      </c>
      <c r="B77" t="s">
        <v>26</v>
      </c>
      <c r="C77" t="s">
        <v>35</v>
      </c>
      <c r="D77" s="14">
        <v>45729</v>
      </c>
      <c r="E77" t="s">
        <v>73</v>
      </c>
      <c r="F77">
        <v>1726209</v>
      </c>
      <c r="G77">
        <v>3</v>
      </c>
      <c r="H77" t="s">
        <v>63</v>
      </c>
      <c r="I77" t="s">
        <v>60</v>
      </c>
      <c r="J77">
        <v>80</v>
      </c>
      <c r="K77" t="s">
        <v>22</v>
      </c>
      <c r="L77">
        <v>60</v>
      </c>
      <c r="M77">
        <v>1658455</v>
      </c>
      <c r="N77">
        <v>1955631</v>
      </c>
      <c r="O77" t="s">
        <v>86</v>
      </c>
      <c r="P77" t="s">
        <v>32</v>
      </c>
    </row>
    <row r="78" spans="1:16" x14ac:dyDescent="0.25">
      <c r="A78" t="s">
        <v>64</v>
      </c>
      <c r="B78" t="s">
        <v>60</v>
      </c>
      <c r="C78" t="s">
        <v>27</v>
      </c>
      <c r="D78" s="14">
        <v>45697</v>
      </c>
      <c r="E78" t="s">
        <v>28</v>
      </c>
      <c r="F78">
        <v>2591171</v>
      </c>
      <c r="G78">
        <v>5</v>
      </c>
      <c r="H78" t="s">
        <v>63</v>
      </c>
      <c r="I78" t="s">
        <v>29</v>
      </c>
      <c r="J78">
        <v>57</v>
      </c>
      <c r="K78" t="s">
        <v>30</v>
      </c>
      <c r="L78">
        <v>60</v>
      </c>
      <c r="M78">
        <v>2503769</v>
      </c>
      <c r="N78">
        <v>2757775</v>
      </c>
      <c r="O78" t="s">
        <v>75</v>
      </c>
      <c r="P78" t="s">
        <v>24</v>
      </c>
    </row>
    <row r="79" spans="1:16" x14ac:dyDescent="0.25">
      <c r="A79" t="s">
        <v>16</v>
      </c>
      <c r="B79" t="s">
        <v>40</v>
      </c>
      <c r="C79" t="s">
        <v>35</v>
      </c>
      <c r="D79" s="14">
        <v>45703</v>
      </c>
      <c r="E79" t="s">
        <v>54</v>
      </c>
      <c r="F79">
        <v>836143</v>
      </c>
      <c r="G79">
        <v>6</v>
      </c>
      <c r="H79" t="s">
        <v>63</v>
      </c>
      <c r="I79" t="s">
        <v>71</v>
      </c>
      <c r="J79">
        <v>93</v>
      </c>
      <c r="K79" t="s">
        <v>22</v>
      </c>
      <c r="L79">
        <v>30</v>
      </c>
      <c r="M79">
        <v>784578</v>
      </c>
      <c r="N79">
        <v>1067694</v>
      </c>
      <c r="O79" t="s">
        <v>75</v>
      </c>
      <c r="P79" t="s">
        <v>24</v>
      </c>
    </row>
    <row r="80" spans="1:16" x14ac:dyDescent="0.25">
      <c r="A80" t="s">
        <v>89</v>
      </c>
      <c r="B80" t="s">
        <v>68</v>
      </c>
      <c r="C80" t="s">
        <v>35</v>
      </c>
      <c r="D80" s="14">
        <v>45699</v>
      </c>
      <c r="E80" t="s">
        <v>54</v>
      </c>
      <c r="F80">
        <v>2436640</v>
      </c>
      <c r="G80">
        <v>6</v>
      </c>
      <c r="H80" t="s">
        <v>63</v>
      </c>
      <c r="I80" t="s">
        <v>38</v>
      </c>
      <c r="J80">
        <v>91</v>
      </c>
      <c r="K80" t="s">
        <v>22</v>
      </c>
      <c r="L80">
        <v>30</v>
      </c>
      <c r="M80">
        <v>2308056</v>
      </c>
      <c r="N80">
        <v>2663536</v>
      </c>
      <c r="O80" t="s">
        <v>84</v>
      </c>
      <c r="P80" t="s">
        <v>44</v>
      </c>
    </row>
    <row r="81" spans="1:16" x14ac:dyDescent="0.25">
      <c r="A81" t="s">
        <v>45</v>
      </c>
      <c r="B81" t="s">
        <v>68</v>
      </c>
      <c r="C81" t="s">
        <v>27</v>
      </c>
      <c r="D81" s="14">
        <v>45725</v>
      </c>
      <c r="E81" t="s">
        <v>36</v>
      </c>
      <c r="F81">
        <v>533567</v>
      </c>
      <c r="G81">
        <v>4</v>
      </c>
      <c r="H81" t="s">
        <v>20</v>
      </c>
      <c r="I81" t="s">
        <v>38</v>
      </c>
      <c r="J81">
        <v>68</v>
      </c>
      <c r="K81" t="s">
        <v>30</v>
      </c>
      <c r="L81">
        <v>45</v>
      </c>
      <c r="M81">
        <v>351131</v>
      </c>
      <c r="N81">
        <v>771951</v>
      </c>
      <c r="O81" t="s">
        <v>84</v>
      </c>
      <c r="P81" t="s">
        <v>32</v>
      </c>
    </row>
    <row r="82" spans="1:16" x14ac:dyDescent="0.25">
      <c r="A82" t="s">
        <v>59</v>
      </c>
      <c r="B82" t="s">
        <v>26</v>
      </c>
      <c r="C82" t="s">
        <v>49</v>
      </c>
      <c r="D82" s="14">
        <v>45714</v>
      </c>
      <c r="E82" t="s">
        <v>73</v>
      </c>
      <c r="F82">
        <v>1975161</v>
      </c>
      <c r="G82">
        <v>2</v>
      </c>
      <c r="H82" t="s">
        <v>41</v>
      </c>
      <c r="I82" t="s">
        <v>71</v>
      </c>
      <c r="J82">
        <v>92</v>
      </c>
      <c r="K82" t="s">
        <v>22</v>
      </c>
      <c r="L82">
        <v>30</v>
      </c>
      <c r="M82">
        <v>1897529</v>
      </c>
      <c r="N82">
        <v>2182938</v>
      </c>
      <c r="O82" t="s">
        <v>84</v>
      </c>
      <c r="P82" t="s">
        <v>44</v>
      </c>
    </row>
    <row r="83" spans="1:16" x14ac:dyDescent="0.25">
      <c r="A83" t="s">
        <v>70</v>
      </c>
      <c r="B83" t="s">
        <v>68</v>
      </c>
      <c r="C83" t="s">
        <v>35</v>
      </c>
      <c r="D83" s="14">
        <v>45759</v>
      </c>
      <c r="E83" t="s">
        <v>73</v>
      </c>
      <c r="F83">
        <v>2047543</v>
      </c>
      <c r="G83">
        <v>1</v>
      </c>
      <c r="H83" t="s">
        <v>37</v>
      </c>
      <c r="I83" t="s">
        <v>58</v>
      </c>
      <c r="J83">
        <v>57</v>
      </c>
      <c r="K83" t="s">
        <v>22</v>
      </c>
      <c r="L83">
        <v>30</v>
      </c>
      <c r="M83">
        <v>1955970</v>
      </c>
      <c r="N83">
        <v>2137950</v>
      </c>
      <c r="O83" t="s">
        <v>85</v>
      </c>
      <c r="P83" t="s">
        <v>24</v>
      </c>
    </row>
    <row r="84" spans="1:16" x14ac:dyDescent="0.25">
      <c r="A84" t="s">
        <v>81</v>
      </c>
      <c r="B84" t="s">
        <v>40</v>
      </c>
      <c r="C84" t="s">
        <v>18</v>
      </c>
      <c r="D84" s="14">
        <v>45806</v>
      </c>
      <c r="E84" t="s">
        <v>73</v>
      </c>
      <c r="F84">
        <v>884961</v>
      </c>
      <c r="G84">
        <v>2</v>
      </c>
      <c r="H84" t="s">
        <v>41</v>
      </c>
      <c r="I84" t="s">
        <v>42</v>
      </c>
      <c r="J84">
        <v>70</v>
      </c>
      <c r="K84" t="s">
        <v>22</v>
      </c>
      <c r="L84">
        <v>45</v>
      </c>
      <c r="M84">
        <v>752550</v>
      </c>
      <c r="N84">
        <v>976448</v>
      </c>
      <c r="O84" t="s">
        <v>23</v>
      </c>
      <c r="P84" t="s">
        <v>24</v>
      </c>
    </row>
    <row r="85" spans="1:16" x14ac:dyDescent="0.25">
      <c r="A85" t="s">
        <v>48</v>
      </c>
      <c r="B85" t="s">
        <v>53</v>
      </c>
      <c r="C85" t="s">
        <v>35</v>
      </c>
      <c r="D85" s="14">
        <v>45727</v>
      </c>
      <c r="E85" t="s">
        <v>19</v>
      </c>
      <c r="F85">
        <v>811370</v>
      </c>
      <c r="G85">
        <v>5</v>
      </c>
      <c r="H85" t="s">
        <v>41</v>
      </c>
      <c r="I85" t="s">
        <v>60</v>
      </c>
      <c r="J85">
        <v>74</v>
      </c>
      <c r="K85" t="s">
        <v>22</v>
      </c>
      <c r="L85">
        <v>60</v>
      </c>
      <c r="M85">
        <v>688530</v>
      </c>
      <c r="N85">
        <v>902592</v>
      </c>
      <c r="O85" t="s">
        <v>78</v>
      </c>
      <c r="P85" t="s">
        <v>24</v>
      </c>
    </row>
    <row r="86" spans="1:16" x14ac:dyDescent="0.25">
      <c r="A86" t="s">
        <v>25</v>
      </c>
      <c r="B86" t="s">
        <v>40</v>
      </c>
      <c r="C86" t="s">
        <v>27</v>
      </c>
      <c r="D86" s="14">
        <v>45738</v>
      </c>
      <c r="E86" t="s">
        <v>36</v>
      </c>
      <c r="F86">
        <v>2740169</v>
      </c>
      <c r="G86">
        <v>6</v>
      </c>
      <c r="H86" t="s">
        <v>20</v>
      </c>
      <c r="I86" t="s">
        <v>42</v>
      </c>
      <c r="J86">
        <v>89</v>
      </c>
      <c r="K86" t="s">
        <v>30</v>
      </c>
      <c r="L86">
        <v>60</v>
      </c>
      <c r="M86">
        <v>2618685</v>
      </c>
      <c r="N86">
        <v>2871807</v>
      </c>
      <c r="O86" t="s">
        <v>43</v>
      </c>
      <c r="P86" t="s">
        <v>24</v>
      </c>
    </row>
    <row r="87" spans="1:16" x14ac:dyDescent="0.25">
      <c r="A87" t="s">
        <v>89</v>
      </c>
      <c r="B87" t="s">
        <v>40</v>
      </c>
      <c r="C87" t="s">
        <v>27</v>
      </c>
      <c r="D87" s="14">
        <v>45769</v>
      </c>
      <c r="E87" t="s">
        <v>19</v>
      </c>
      <c r="F87">
        <v>1338583</v>
      </c>
      <c r="G87">
        <v>5</v>
      </c>
      <c r="H87" t="s">
        <v>37</v>
      </c>
      <c r="I87" t="s">
        <v>46</v>
      </c>
      <c r="J87">
        <v>56</v>
      </c>
      <c r="K87" t="s">
        <v>30</v>
      </c>
      <c r="L87">
        <v>30</v>
      </c>
      <c r="M87">
        <v>1202820</v>
      </c>
      <c r="N87">
        <v>1573140</v>
      </c>
      <c r="O87" t="s">
        <v>80</v>
      </c>
      <c r="P87" t="s">
        <v>24</v>
      </c>
    </row>
    <row r="88" spans="1:16" x14ac:dyDescent="0.25">
      <c r="A88" t="s">
        <v>88</v>
      </c>
      <c r="B88" t="s">
        <v>53</v>
      </c>
      <c r="C88" t="s">
        <v>27</v>
      </c>
      <c r="D88" s="14">
        <v>45718</v>
      </c>
      <c r="E88" t="s">
        <v>36</v>
      </c>
      <c r="F88">
        <v>886262</v>
      </c>
      <c r="G88">
        <v>4</v>
      </c>
      <c r="H88" t="s">
        <v>63</v>
      </c>
      <c r="I88" t="s">
        <v>42</v>
      </c>
      <c r="J88">
        <v>95</v>
      </c>
      <c r="K88" t="s">
        <v>30</v>
      </c>
      <c r="L88">
        <v>45</v>
      </c>
      <c r="M88">
        <v>813229</v>
      </c>
      <c r="N88">
        <v>1020580</v>
      </c>
      <c r="O88" t="s">
        <v>78</v>
      </c>
      <c r="P88" t="s">
        <v>24</v>
      </c>
    </row>
    <row r="89" spans="1:16" x14ac:dyDescent="0.25">
      <c r="A89" t="s">
        <v>67</v>
      </c>
      <c r="B89" t="s">
        <v>60</v>
      </c>
      <c r="C89" t="s">
        <v>35</v>
      </c>
      <c r="D89" s="14">
        <v>45705</v>
      </c>
      <c r="E89" t="s">
        <v>73</v>
      </c>
      <c r="F89">
        <v>2746588</v>
      </c>
      <c r="G89">
        <v>5</v>
      </c>
      <c r="H89" t="s">
        <v>20</v>
      </c>
      <c r="I89" t="s">
        <v>21</v>
      </c>
      <c r="J89">
        <v>92</v>
      </c>
      <c r="K89" t="s">
        <v>22</v>
      </c>
      <c r="L89">
        <v>60</v>
      </c>
      <c r="M89">
        <v>2600098</v>
      </c>
      <c r="N89">
        <v>2861676</v>
      </c>
      <c r="O89" t="s">
        <v>84</v>
      </c>
      <c r="P89" t="s">
        <v>44</v>
      </c>
    </row>
    <row r="90" spans="1:16" x14ac:dyDescent="0.25">
      <c r="A90" t="s">
        <v>56</v>
      </c>
      <c r="B90" t="s">
        <v>53</v>
      </c>
      <c r="C90" t="s">
        <v>27</v>
      </c>
      <c r="D90" s="14">
        <v>45753</v>
      </c>
      <c r="E90" t="s">
        <v>36</v>
      </c>
      <c r="F90">
        <v>1300358</v>
      </c>
      <c r="G90">
        <v>2</v>
      </c>
      <c r="H90" t="s">
        <v>37</v>
      </c>
      <c r="I90" t="s">
        <v>29</v>
      </c>
      <c r="J90">
        <v>79</v>
      </c>
      <c r="K90" t="s">
        <v>30</v>
      </c>
      <c r="L90">
        <v>30</v>
      </c>
      <c r="M90">
        <v>1147249</v>
      </c>
      <c r="N90">
        <v>1580131</v>
      </c>
      <c r="O90" t="s">
        <v>23</v>
      </c>
      <c r="P90" t="s">
        <v>32</v>
      </c>
    </row>
    <row r="91" spans="1:16" x14ac:dyDescent="0.25">
      <c r="A91" t="s">
        <v>33</v>
      </c>
      <c r="B91" t="s">
        <v>40</v>
      </c>
      <c r="C91" t="s">
        <v>49</v>
      </c>
      <c r="D91" s="14">
        <v>45678</v>
      </c>
      <c r="E91" t="s">
        <v>36</v>
      </c>
      <c r="F91">
        <v>1103997</v>
      </c>
      <c r="G91">
        <v>5</v>
      </c>
      <c r="H91" t="s">
        <v>37</v>
      </c>
      <c r="I91" t="s">
        <v>71</v>
      </c>
      <c r="J91">
        <v>60</v>
      </c>
      <c r="K91" t="s">
        <v>22</v>
      </c>
      <c r="L91">
        <v>90</v>
      </c>
      <c r="M91">
        <v>953642</v>
      </c>
      <c r="N91">
        <v>1183145</v>
      </c>
      <c r="O91" t="s">
        <v>51</v>
      </c>
      <c r="P91" t="s">
        <v>44</v>
      </c>
    </row>
    <row r="92" spans="1:16" x14ac:dyDescent="0.25">
      <c r="A92" t="s">
        <v>52</v>
      </c>
      <c r="B92" t="s">
        <v>26</v>
      </c>
      <c r="C92" t="s">
        <v>35</v>
      </c>
      <c r="D92" s="14">
        <v>45661</v>
      </c>
      <c r="E92" t="s">
        <v>73</v>
      </c>
      <c r="F92">
        <v>2169466</v>
      </c>
      <c r="G92">
        <v>4</v>
      </c>
      <c r="H92" t="s">
        <v>37</v>
      </c>
      <c r="I92" t="s">
        <v>29</v>
      </c>
      <c r="J92">
        <v>57</v>
      </c>
      <c r="K92" t="s">
        <v>22</v>
      </c>
      <c r="L92">
        <v>60</v>
      </c>
      <c r="M92">
        <v>2029286</v>
      </c>
      <c r="N92">
        <v>2410640</v>
      </c>
      <c r="O92" t="s">
        <v>43</v>
      </c>
      <c r="P92" t="s">
        <v>32</v>
      </c>
    </row>
    <row r="93" spans="1:16" x14ac:dyDescent="0.25">
      <c r="A93" t="s">
        <v>83</v>
      </c>
      <c r="B93" t="s">
        <v>62</v>
      </c>
      <c r="C93" t="s">
        <v>35</v>
      </c>
      <c r="D93" s="14">
        <v>45658</v>
      </c>
      <c r="E93" t="s">
        <v>36</v>
      </c>
      <c r="F93">
        <v>1180140</v>
      </c>
      <c r="G93">
        <v>4</v>
      </c>
      <c r="H93" t="s">
        <v>37</v>
      </c>
      <c r="I93" t="s">
        <v>21</v>
      </c>
      <c r="J93">
        <v>88</v>
      </c>
      <c r="K93" t="s">
        <v>22</v>
      </c>
      <c r="L93">
        <v>30</v>
      </c>
      <c r="M93">
        <v>995194</v>
      </c>
      <c r="N93">
        <v>1285391</v>
      </c>
      <c r="O93" t="s">
        <v>80</v>
      </c>
      <c r="P93" t="s">
        <v>24</v>
      </c>
    </row>
    <row r="94" spans="1:16" x14ac:dyDescent="0.25">
      <c r="A94" t="s">
        <v>45</v>
      </c>
      <c r="B94" t="s">
        <v>60</v>
      </c>
      <c r="C94" t="s">
        <v>35</v>
      </c>
      <c r="D94" s="14">
        <v>45697</v>
      </c>
      <c r="E94" t="s">
        <v>57</v>
      </c>
      <c r="F94">
        <v>2735128</v>
      </c>
      <c r="G94">
        <v>3</v>
      </c>
      <c r="H94" t="s">
        <v>20</v>
      </c>
      <c r="I94" t="s">
        <v>42</v>
      </c>
      <c r="J94">
        <v>62</v>
      </c>
      <c r="K94" t="s">
        <v>22</v>
      </c>
      <c r="L94">
        <v>45</v>
      </c>
      <c r="M94">
        <v>2613943</v>
      </c>
      <c r="N94">
        <v>2819238</v>
      </c>
      <c r="O94" t="s">
        <v>47</v>
      </c>
      <c r="P94" t="s">
        <v>44</v>
      </c>
    </row>
    <row r="95" spans="1:16" x14ac:dyDescent="0.25">
      <c r="A95" t="s">
        <v>81</v>
      </c>
      <c r="B95" t="s">
        <v>62</v>
      </c>
      <c r="C95" t="s">
        <v>27</v>
      </c>
      <c r="D95" s="14">
        <v>45796</v>
      </c>
      <c r="E95" t="s">
        <v>36</v>
      </c>
      <c r="F95">
        <v>1570894</v>
      </c>
      <c r="G95">
        <v>5</v>
      </c>
      <c r="H95" t="s">
        <v>20</v>
      </c>
      <c r="I95" t="s">
        <v>60</v>
      </c>
      <c r="J95">
        <v>66</v>
      </c>
      <c r="K95" t="s">
        <v>30</v>
      </c>
      <c r="L95">
        <v>45</v>
      </c>
      <c r="M95">
        <v>1504695</v>
      </c>
      <c r="N95">
        <v>1827882</v>
      </c>
      <c r="O95" t="s">
        <v>86</v>
      </c>
      <c r="P95" t="s">
        <v>44</v>
      </c>
    </row>
    <row r="96" spans="1:16" x14ac:dyDescent="0.25">
      <c r="A96" t="s">
        <v>52</v>
      </c>
      <c r="B96" t="s">
        <v>34</v>
      </c>
      <c r="C96" t="s">
        <v>18</v>
      </c>
      <c r="D96" s="14">
        <v>45686</v>
      </c>
      <c r="E96" t="s">
        <v>54</v>
      </c>
      <c r="F96">
        <v>2079278</v>
      </c>
      <c r="G96">
        <v>3</v>
      </c>
      <c r="H96" t="s">
        <v>37</v>
      </c>
      <c r="I96" t="s">
        <v>21</v>
      </c>
      <c r="J96">
        <v>92</v>
      </c>
      <c r="K96" t="s">
        <v>22</v>
      </c>
      <c r="L96">
        <v>60</v>
      </c>
      <c r="M96">
        <v>2017236</v>
      </c>
      <c r="N96">
        <v>2264762</v>
      </c>
      <c r="O96" t="s">
        <v>86</v>
      </c>
      <c r="P96" t="s">
        <v>24</v>
      </c>
    </row>
    <row r="97" spans="1:16" x14ac:dyDescent="0.25">
      <c r="A97" t="s">
        <v>79</v>
      </c>
      <c r="B97" t="s">
        <v>60</v>
      </c>
      <c r="C97" t="s">
        <v>18</v>
      </c>
      <c r="D97" s="14">
        <v>45779</v>
      </c>
      <c r="E97" t="s">
        <v>54</v>
      </c>
      <c r="F97">
        <v>2006472</v>
      </c>
      <c r="G97">
        <v>2</v>
      </c>
      <c r="H97" t="s">
        <v>63</v>
      </c>
      <c r="I97" t="s">
        <v>42</v>
      </c>
      <c r="J97">
        <v>81</v>
      </c>
      <c r="K97" t="s">
        <v>22</v>
      </c>
      <c r="L97">
        <v>60</v>
      </c>
      <c r="M97">
        <v>1832755</v>
      </c>
      <c r="N97">
        <v>2205815</v>
      </c>
      <c r="O97" t="s">
        <v>75</v>
      </c>
      <c r="P97" t="s">
        <v>44</v>
      </c>
    </row>
    <row r="98" spans="1:16" x14ac:dyDescent="0.25">
      <c r="A98" t="s">
        <v>70</v>
      </c>
      <c r="B98" t="s">
        <v>26</v>
      </c>
      <c r="C98" t="s">
        <v>49</v>
      </c>
      <c r="D98" s="14">
        <v>45701</v>
      </c>
      <c r="E98" t="s">
        <v>28</v>
      </c>
      <c r="F98">
        <v>1608270</v>
      </c>
      <c r="G98">
        <v>3</v>
      </c>
      <c r="H98" t="s">
        <v>41</v>
      </c>
      <c r="I98" t="s">
        <v>58</v>
      </c>
      <c r="J98">
        <v>83</v>
      </c>
      <c r="K98" t="s">
        <v>22</v>
      </c>
      <c r="L98">
        <v>30</v>
      </c>
      <c r="M98">
        <v>1458886</v>
      </c>
      <c r="N98">
        <v>1879086</v>
      </c>
      <c r="O98" t="s">
        <v>47</v>
      </c>
      <c r="P98" t="s">
        <v>24</v>
      </c>
    </row>
    <row r="99" spans="1:16" x14ac:dyDescent="0.25">
      <c r="A99" t="s">
        <v>16</v>
      </c>
      <c r="B99" t="s">
        <v>68</v>
      </c>
      <c r="C99" t="s">
        <v>27</v>
      </c>
      <c r="D99" s="14">
        <v>45728</v>
      </c>
      <c r="E99" t="s">
        <v>50</v>
      </c>
      <c r="F99">
        <v>2600341</v>
      </c>
      <c r="G99">
        <v>4</v>
      </c>
      <c r="H99" t="s">
        <v>37</v>
      </c>
      <c r="I99" t="s">
        <v>29</v>
      </c>
      <c r="J99">
        <v>76</v>
      </c>
      <c r="K99" t="s">
        <v>30</v>
      </c>
      <c r="L99">
        <v>30</v>
      </c>
      <c r="M99">
        <v>2455281</v>
      </c>
      <c r="N99">
        <v>2721431</v>
      </c>
      <c r="O99" t="s">
        <v>77</v>
      </c>
      <c r="P99" t="s">
        <v>24</v>
      </c>
    </row>
    <row r="100" spans="1:16" x14ac:dyDescent="0.25">
      <c r="A100" t="s">
        <v>52</v>
      </c>
      <c r="B100" t="s">
        <v>62</v>
      </c>
      <c r="C100" t="s">
        <v>35</v>
      </c>
      <c r="D100" s="14">
        <v>45705</v>
      </c>
      <c r="E100" t="s">
        <v>36</v>
      </c>
      <c r="F100">
        <v>2412626</v>
      </c>
      <c r="G100">
        <v>6</v>
      </c>
      <c r="H100" t="s">
        <v>41</v>
      </c>
      <c r="I100" t="s">
        <v>38</v>
      </c>
      <c r="J100">
        <v>90</v>
      </c>
      <c r="K100" t="s">
        <v>22</v>
      </c>
      <c r="L100">
        <v>30</v>
      </c>
      <c r="M100">
        <v>2352693</v>
      </c>
      <c r="N100">
        <v>2587202</v>
      </c>
      <c r="O100" t="s">
        <v>39</v>
      </c>
      <c r="P100" t="s">
        <v>44</v>
      </c>
    </row>
    <row r="101" spans="1:16" x14ac:dyDescent="0.25">
      <c r="A101" t="s">
        <v>88</v>
      </c>
      <c r="B101" t="s">
        <v>60</v>
      </c>
      <c r="C101" t="s">
        <v>18</v>
      </c>
      <c r="D101" s="14">
        <v>45676</v>
      </c>
      <c r="E101" t="s">
        <v>73</v>
      </c>
      <c r="F101">
        <v>1346136</v>
      </c>
      <c r="G101">
        <v>6</v>
      </c>
      <c r="H101" t="s">
        <v>20</v>
      </c>
      <c r="I101" t="s">
        <v>46</v>
      </c>
      <c r="J101">
        <v>62</v>
      </c>
      <c r="K101" t="s">
        <v>22</v>
      </c>
      <c r="L101">
        <v>60</v>
      </c>
      <c r="M101">
        <v>1204273</v>
      </c>
      <c r="N101">
        <v>1574658</v>
      </c>
      <c r="O101" t="s">
        <v>69</v>
      </c>
      <c r="P101" t="s">
        <v>32</v>
      </c>
    </row>
  </sheetData>
  <phoneticPr fontId="5" type="noConversion"/>
  <conditionalFormatting sqref="D2:D101">
    <cfRule type="cellIs" dxfId="0" priority="1" operator="equal">
      <formula>45757</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B455D-A0E4-421E-8763-433C8D82C7E7}">
  <sheetPr>
    <pageSetUpPr fitToPage="1"/>
  </sheetPr>
  <dimension ref="A1"/>
  <sheetViews>
    <sheetView showGridLines="0" zoomScale="74" zoomScaleNormal="76" workbookViewId="0">
      <selection activeCell="W15" sqref="W15"/>
    </sheetView>
  </sheetViews>
  <sheetFormatPr defaultRowHeight="15" x14ac:dyDescent="0.25"/>
  <sheetData/>
  <pageMargins left="0.7" right="0.7" top="0.75" bottom="0.75" header="0.3" footer="0.3"/>
  <pageSetup paperSize="9" scale="62"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6185-404A-4840-B8D0-45E6C1BFCFC4}">
  <sheetPr>
    <pageSetUpPr fitToPage="1"/>
  </sheetPr>
  <dimension ref="A1"/>
  <sheetViews>
    <sheetView zoomScale="68" zoomScaleNormal="70" workbookViewId="0">
      <selection activeCell="W22" sqref="W22"/>
    </sheetView>
  </sheetViews>
  <sheetFormatPr defaultRowHeight="15" x14ac:dyDescent="0.25"/>
  <sheetData/>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F456-D2F5-4908-AFB8-7955BC582A61}">
  <sheetPr>
    <pageSetUpPr fitToPage="1"/>
  </sheetPr>
  <dimension ref="A1"/>
  <sheetViews>
    <sheetView zoomScale="66" workbookViewId="0">
      <selection activeCell="W17" sqref="W17"/>
    </sheetView>
  </sheetViews>
  <sheetFormatPr defaultRowHeight="15" x14ac:dyDescent="0.25"/>
  <sheetData/>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D46E1-987F-42DD-AB43-9FDFEF8EE112}">
  <sheetPr>
    <pageSetUpPr fitToPage="1"/>
  </sheetPr>
  <dimension ref="A1"/>
  <sheetViews>
    <sheetView tabSelected="1" zoomScale="70" zoomScaleNormal="70" workbookViewId="0">
      <selection activeCell="V14" sqref="V14"/>
    </sheetView>
  </sheetViews>
  <sheetFormatPr defaultRowHeight="15" x14ac:dyDescent="0.25"/>
  <sheetData/>
  <pageMargins left="0.25" right="0.25" top="0.75" bottom="0.75" header="0.3" footer="0.3"/>
  <pageSetup paperSize="9" scale="67"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EA87D-2DEB-4CE1-8E2A-5860BE978DBF}">
  <dimension ref="A1:AB128"/>
  <sheetViews>
    <sheetView topLeftCell="I1" zoomScale="117" workbookViewId="0">
      <selection activeCell="Z96" sqref="Z96:Z101"/>
    </sheetView>
  </sheetViews>
  <sheetFormatPr defaultRowHeight="15" x14ac:dyDescent="0.25"/>
  <cols>
    <col min="1" max="1" width="13.140625" bestFit="1" customWidth="1"/>
    <col min="2" max="3" width="12.85546875" bestFit="1" customWidth="1"/>
    <col min="4" max="4" width="12.5703125" bestFit="1" customWidth="1"/>
    <col min="12" max="12" width="13.140625" bestFit="1" customWidth="1"/>
    <col min="13" max="13" width="17.5703125" bestFit="1" customWidth="1"/>
    <col min="14" max="14" width="16.28515625" bestFit="1" customWidth="1"/>
    <col min="15" max="15" width="9.5703125" bestFit="1" customWidth="1"/>
    <col min="16" max="16" width="5.7109375" bestFit="1" customWidth="1"/>
    <col min="17" max="17" width="8.85546875" bestFit="1" customWidth="1"/>
    <col min="18" max="18" width="11.28515625" bestFit="1" customWidth="1"/>
    <col min="22" max="22" width="18.42578125" bestFit="1" customWidth="1"/>
    <col min="23" max="23" width="13.7109375" bestFit="1" customWidth="1"/>
    <col min="24" max="24" width="17.7109375" bestFit="1" customWidth="1"/>
    <col min="25" max="26" width="13.140625" bestFit="1" customWidth="1"/>
    <col min="27" max="27" width="21.85546875" bestFit="1" customWidth="1"/>
    <col min="28" max="28" width="20" bestFit="1" customWidth="1"/>
  </cols>
  <sheetData>
    <row r="1" spans="1:24" x14ac:dyDescent="0.25">
      <c r="A1" s="4" t="s">
        <v>90</v>
      </c>
      <c r="B1" s="4" t="s">
        <v>92</v>
      </c>
      <c r="V1" s="1" t="s">
        <v>90</v>
      </c>
      <c r="W1" t="s">
        <v>103</v>
      </c>
      <c r="X1" t="s">
        <v>98</v>
      </c>
    </row>
    <row r="2" spans="1:24" x14ac:dyDescent="0.25">
      <c r="A2" s="5" t="s">
        <v>105</v>
      </c>
      <c r="B2" s="4">
        <v>100</v>
      </c>
      <c r="C2" s="3"/>
      <c r="V2" s="2" t="s">
        <v>105</v>
      </c>
      <c r="W2">
        <v>100</v>
      </c>
      <c r="X2">
        <v>356</v>
      </c>
    </row>
    <row r="3" spans="1:24" x14ac:dyDescent="0.25">
      <c r="A3" s="18" t="s">
        <v>56</v>
      </c>
      <c r="B3" s="4">
        <v>5</v>
      </c>
      <c r="V3" s="17" t="s">
        <v>56</v>
      </c>
      <c r="W3">
        <v>5</v>
      </c>
      <c r="X3">
        <v>9</v>
      </c>
    </row>
    <row r="4" spans="1:24" x14ac:dyDescent="0.25">
      <c r="A4" s="18" t="s">
        <v>87</v>
      </c>
      <c r="B4" s="4">
        <v>2</v>
      </c>
      <c r="V4" s="17" t="s">
        <v>87</v>
      </c>
      <c r="W4">
        <v>2</v>
      </c>
      <c r="X4">
        <v>3</v>
      </c>
    </row>
    <row r="5" spans="1:24" x14ac:dyDescent="0.25">
      <c r="A5" s="18" t="s">
        <v>45</v>
      </c>
      <c r="B5" s="4">
        <v>10</v>
      </c>
      <c r="L5" s="6" t="s">
        <v>10</v>
      </c>
      <c r="M5" s="6" t="s">
        <v>30</v>
      </c>
      <c r="V5" s="17" t="s">
        <v>45</v>
      </c>
      <c r="W5">
        <v>10</v>
      </c>
      <c r="X5">
        <v>34</v>
      </c>
    </row>
    <row r="6" spans="1:24" x14ac:dyDescent="0.25">
      <c r="A6" s="18" t="s">
        <v>89</v>
      </c>
      <c r="B6" s="4">
        <v>2</v>
      </c>
      <c r="L6" s="6"/>
      <c r="M6" s="6"/>
      <c r="V6" s="17" t="s">
        <v>89</v>
      </c>
      <c r="W6">
        <v>2</v>
      </c>
      <c r="X6">
        <v>11</v>
      </c>
    </row>
    <row r="7" spans="1:24" x14ac:dyDescent="0.25">
      <c r="A7" s="18" t="s">
        <v>67</v>
      </c>
      <c r="B7" s="4">
        <v>8</v>
      </c>
      <c r="L7" s="6" t="s">
        <v>90</v>
      </c>
      <c r="M7" s="6" t="s">
        <v>97</v>
      </c>
      <c r="V7" s="17" t="s">
        <v>67</v>
      </c>
      <c r="W7">
        <v>8</v>
      </c>
      <c r="X7">
        <v>24</v>
      </c>
    </row>
    <row r="8" spans="1:24" x14ac:dyDescent="0.25">
      <c r="A8" s="18" t="s">
        <v>70</v>
      </c>
      <c r="B8" s="4">
        <v>3</v>
      </c>
      <c r="L8" s="7" t="s">
        <v>32</v>
      </c>
      <c r="M8" s="6">
        <v>12</v>
      </c>
      <c r="V8" s="17" t="s">
        <v>70</v>
      </c>
      <c r="W8">
        <v>3</v>
      </c>
      <c r="X8">
        <v>6</v>
      </c>
    </row>
    <row r="9" spans="1:24" x14ac:dyDescent="0.25">
      <c r="A9" s="18" t="s">
        <v>33</v>
      </c>
      <c r="B9" s="4">
        <v>8</v>
      </c>
      <c r="L9" s="7" t="s">
        <v>24</v>
      </c>
      <c r="M9" s="6">
        <v>6</v>
      </c>
      <c r="V9" s="17" t="s">
        <v>33</v>
      </c>
      <c r="W9">
        <v>8</v>
      </c>
      <c r="X9">
        <v>27</v>
      </c>
    </row>
    <row r="10" spans="1:24" x14ac:dyDescent="0.25">
      <c r="A10" s="18" t="s">
        <v>16</v>
      </c>
      <c r="B10" s="4">
        <v>7</v>
      </c>
      <c r="L10" s="7" t="s">
        <v>44</v>
      </c>
      <c r="M10" s="6">
        <v>10</v>
      </c>
      <c r="V10" s="17" t="s">
        <v>16</v>
      </c>
      <c r="W10">
        <v>7</v>
      </c>
      <c r="X10">
        <v>37</v>
      </c>
    </row>
    <row r="11" spans="1:24" x14ac:dyDescent="0.25">
      <c r="A11" s="18" t="s">
        <v>83</v>
      </c>
      <c r="B11" s="4">
        <v>3</v>
      </c>
      <c r="L11" s="7" t="s">
        <v>91</v>
      </c>
      <c r="M11" s="6">
        <v>28</v>
      </c>
      <c r="V11" s="17" t="s">
        <v>83</v>
      </c>
      <c r="W11">
        <v>3</v>
      </c>
      <c r="X11">
        <v>10</v>
      </c>
    </row>
    <row r="12" spans="1:24" x14ac:dyDescent="0.25">
      <c r="A12" s="18" t="s">
        <v>74</v>
      </c>
      <c r="B12" s="4">
        <v>4</v>
      </c>
      <c r="V12" s="17" t="s">
        <v>74</v>
      </c>
      <c r="W12">
        <v>4</v>
      </c>
      <c r="X12">
        <v>15</v>
      </c>
    </row>
    <row r="13" spans="1:24" x14ac:dyDescent="0.25">
      <c r="A13" s="18" t="s">
        <v>66</v>
      </c>
      <c r="B13" s="4">
        <v>3</v>
      </c>
      <c r="V13" s="17" t="s">
        <v>66</v>
      </c>
      <c r="W13">
        <v>3</v>
      </c>
      <c r="X13">
        <v>13</v>
      </c>
    </row>
    <row r="14" spans="1:24" x14ac:dyDescent="0.25">
      <c r="A14" s="18" t="s">
        <v>81</v>
      </c>
      <c r="B14" s="4">
        <v>5</v>
      </c>
      <c r="V14" s="17" t="s">
        <v>81</v>
      </c>
      <c r="W14">
        <v>5</v>
      </c>
      <c r="X14">
        <v>15</v>
      </c>
    </row>
    <row r="15" spans="1:24" x14ac:dyDescent="0.25">
      <c r="A15" s="18" t="s">
        <v>52</v>
      </c>
      <c r="B15" s="4">
        <v>5</v>
      </c>
      <c r="V15" s="17" t="s">
        <v>52</v>
      </c>
      <c r="W15">
        <v>5</v>
      </c>
      <c r="X15">
        <v>19</v>
      </c>
    </row>
    <row r="16" spans="1:24" x14ac:dyDescent="0.25">
      <c r="A16" s="18" t="s">
        <v>64</v>
      </c>
      <c r="B16" s="4">
        <v>5</v>
      </c>
      <c r="V16" s="17" t="s">
        <v>64</v>
      </c>
      <c r="W16">
        <v>5</v>
      </c>
      <c r="X16">
        <v>17</v>
      </c>
    </row>
    <row r="17" spans="1:28" x14ac:dyDescent="0.25">
      <c r="A17" s="18" t="s">
        <v>25</v>
      </c>
      <c r="B17" s="4">
        <v>8</v>
      </c>
      <c r="V17" s="17" t="s">
        <v>25</v>
      </c>
      <c r="W17">
        <v>8</v>
      </c>
      <c r="X17">
        <v>28</v>
      </c>
    </row>
    <row r="18" spans="1:28" x14ac:dyDescent="0.25">
      <c r="A18" s="18" t="s">
        <v>88</v>
      </c>
      <c r="B18" s="4">
        <v>4</v>
      </c>
      <c r="V18" s="17" t="s">
        <v>88</v>
      </c>
      <c r="W18">
        <v>4</v>
      </c>
      <c r="X18">
        <v>19</v>
      </c>
      <c r="AA18" s="1" t="s">
        <v>90</v>
      </c>
      <c r="AB18" t="s">
        <v>99</v>
      </c>
    </row>
    <row r="19" spans="1:28" x14ac:dyDescent="0.25">
      <c r="A19" s="18" t="s">
        <v>79</v>
      </c>
      <c r="B19" s="4">
        <v>3</v>
      </c>
      <c r="V19" s="17" t="s">
        <v>79</v>
      </c>
      <c r="W19">
        <v>3</v>
      </c>
      <c r="X19">
        <v>12</v>
      </c>
      <c r="AA19" s="2" t="s">
        <v>105</v>
      </c>
      <c r="AB19">
        <v>5310</v>
      </c>
    </row>
    <row r="20" spans="1:28" x14ac:dyDescent="0.25">
      <c r="A20" s="18" t="s">
        <v>48</v>
      </c>
      <c r="B20" s="4">
        <v>6</v>
      </c>
      <c r="V20" s="17" t="s">
        <v>48</v>
      </c>
      <c r="W20">
        <v>6</v>
      </c>
      <c r="X20">
        <v>21</v>
      </c>
      <c r="AA20" s="17" t="s">
        <v>56</v>
      </c>
      <c r="AB20">
        <v>240</v>
      </c>
    </row>
    <row r="21" spans="1:28" x14ac:dyDescent="0.25">
      <c r="A21" s="18" t="s">
        <v>59</v>
      </c>
      <c r="B21" s="4">
        <v>9</v>
      </c>
      <c r="M21" s="10"/>
      <c r="V21" s="17" t="s">
        <v>59</v>
      </c>
      <c r="W21">
        <v>9</v>
      </c>
      <c r="X21">
        <v>36</v>
      </c>
      <c r="AA21" s="17" t="s">
        <v>87</v>
      </c>
      <c r="AB21">
        <v>135</v>
      </c>
    </row>
    <row r="22" spans="1:28" x14ac:dyDescent="0.25">
      <c r="A22" s="5" t="s">
        <v>91</v>
      </c>
      <c r="B22" s="4">
        <v>100</v>
      </c>
      <c r="M22" s="10" t="s">
        <v>92</v>
      </c>
      <c r="N22" s="10" t="s">
        <v>93</v>
      </c>
      <c r="O22" s="10"/>
      <c r="P22" s="10"/>
      <c r="Q22" s="10"/>
      <c r="R22" s="10"/>
      <c r="V22" s="2" t="s">
        <v>91</v>
      </c>
      <c r="W22">
        <v>100</v>
      </c>
      <c r="X22">
        <v>356</v>
      </c>
      <c r="AA22" s="17" t="s">
        <v>45</v>
      </c>
      <c r="AB22">
        <v>540</v>
      </c>
    </row>
    <row r="23" spans="1:28" x14ac:dyDescent="0.25">
      <c r="A23" s="8" t="s">
        <v>90</v>
      </c>
      <c r="B23" s="8" t="s">
        <v>94</v>
      </c>
      <c r="C23" s="8" t="s">
        <v>95</v>
      </c>
      <c r="D23" s="8" t="s">
        <v>96</v>
      </c>
      <c r="M23" s="10" t="s">
        <v>90</v>
      </c>
      <c r="N23" s="10" t="s">
        <v>49</v>
      </c>
      <c r="O23" s="10" t="s">
        <v>35</v>
      </c>
      <c r="P23" s="10" t="s">
        <v>27</v>
      </c>
      <c r="Q23" s="10" t="s">
        <v>18</v>
      </c>
      <c r="R23" s="10" t="s">
        <v>91</v>
      </c>
      <c r="AA23" s="17" t="s">
        <v>89</v>
      </c>
      <c r="AB23">
        <v>60</v>
      </c>
    </row>
    <row r="24" spans="1:28" x14ac:dyDescent="0.25">
      <c r="A24" s="9" t="s">
        <v>17</v>
      </c>
      <c r="B24" s="8">
        <v>1861526.0833333333</v>
      </c>
      <c r="C24" s="8">
        <v>2702187</v>
      </c>
      <c r="D24" s="8">
        <v>448465</v>
      </c>
      <c r="M24" s="11" t="s">
        <v>105</v>
      </c>
      <c r="N24" s="10">
        <v>21</v>
      </c>
      <c r="O24" s="10">
        <v>28</v>
      </c>
      <c r="P24" s="10">
        <v>28</v>
      </c>
      <c r="Q24" s="10">
        <v>23</v>
      </c>
      <c r="R24" s="10">
        <v>100</v>
      </c>
      <c r="AA24" s="17" t="s">
        <v>67</v>
      </c>
      <c r="AB24">
        <v>465</v>
      </c>
    </row>
    <row r="25" spans="1:28" x14ac:dyDescent="0.25">
      <c r="A25" s="9" t="s">
        <v>68</v>
      </c>
      <c r="B25" s="8">
        <v>1536117.8181818181</v>
      </c>
      <c r="C25" s="8">
        <v>2647006</v>
      </c>
      <c r="D25" s="8">
        <v>525129</v>
      </c>
      <c r="M25" s="19" t="s">
        <v>56</v>
      </c>
      <c r="N25" s="10">
        <v>1</v>
      </c>
      <c r="O25" s="10">
        <v>1</v>
      </c>
      <c r="P25" s="10">
        <v>2</v>
      </c>
      <c r="Q25" s="10">
        <v>1</v>
      </c>
      <c r="R25" s="10">
        <v>5</v>
      </c>
      <c r="AA25" s="17" t="s">
        <v>70</v>
      </c>
      <c r="AB25">
        <v>105</v>
      </c>
    </row>
    <row r="26" spans="1:28" x14ac:dyDescent="0.25">
      <c r="A26" s="9" t="s">
        <v>62</v>
      </c>
      <c r="B26" s="8">
        <v>1980841</v>
      </c>
      <c r="C26" s="8">
        <v>2655788</v>
      </c>
      <c r="D26" s="8">
        <v>895179</v>
      </c>
      <c r="M26" s="19" t="s">
        <v>87</v>
      </c>
      <c r="N26" s="10"/>
      <c r="O26" s="10"/>
      <c r="P26" s="10"/>
      <c r="Q26" s="10">
        <v>2</v>
      </c>
      <c r="R26" s="10">
        <v>2</v>
      </c>
      <c r="AA26" s="17" t="s">
        <v>33</v>
      </c>
      <c r="AB26">
        <v>630</v>
      </c>
    </row>
    <row r="27" spans="1:28" x14ac:dyDescent="0.25">
      <c r="A27" s="9" t="s">
        <v>53</v>
      </c>
      <c r="B27" s="8">
        <v>1306650.857142857</v>
      </c>
      <c r="C27" s="8">
        <v>2477087</v>
      </c>
      <c r="D27" s="8">
        <v>398941</v>
      </c>
      <c r="M27" s="19" t="s">
        <v>45</v>
      </c>
      <c r="N27" s="10">
        <v>1</v>
      </c>
      <c r="O27" s="10">
        <v>4</v>
      </c>
      <c r="P27" s="10">
        <v>3</v>
      </c>
      <c r="Q27" s="10">
        <v>2</v>
      </c>
      <c r="R27" s="10">
        <v>10</v>
      </c>
      <c r="AA27" s="17" t="s">
        <v>16</v>
      </c>
      <c r="AB27">
        <v>450</v>
      </c>
    </row>
    <row r="28" spans="1:28" x14ac:dyDescent="0.25">
      <c r="A28" s="9" t="s">
        <v>26</v>
      </c>
      <c r="B28" s="8">
        <v>1782723.7692307692</v>
      </c>
      <c r="C28" s="8">
        <v>2536732</v>
      </c>
      <c r="D28" s="8">
        <v>791995</v>
      </c>
      <c r="M28" s="19" t="s">
        <v>89</v>
      </c>
      <c r="N28" s="10"/>
      <c r="O28" s="10">
        <v>1</v>
      </c>
      <c r="P28" s="10">
        <v>1</v>
      </c>
      <c r="Q28" s="10"/>
      <c r="R28" s="10">
        <v>2</v>
      </c>
      <c r="AA28" s="17" t="s">
        <v>83</v>
      </c>
      <c r="AB28">
        <v>105</v>
      </c>
    </row>
    <row r="29" spans="1:28" x14ac:dyDescent="0.25">
      <c r="A29" s="9" t="s">
        <v>60</v>
      </c>
      <c r="B29" s="8">
        <v>2032734.4545454546</v>
      </c>
      <c r="C29" s="8">
        <v>2746588</v>
      </c>
      <c r="D29" s="8">
        <v>526572</v>
      </c>
      <c r="M29" s="19" t="s">
        <v>67</v>
      </c>
      <c r="N29" s="10">
        <v>2</v>
      </c>
      <c r="O29" s="10">
        <v>2</v>
      </c>
      <c r="P29" s="10">
        <v>2</v>
      </c>
      <c r="Q29" s="10">
        <v>2</v>
      </c>
      <c r="R29" s="10">
        <v>8</v>
      </c>
      <c r="AA29" s="17" t="s">
        <v>74</v>
      </c>
      <c r="AB29">
        <v>270</v>
      </c>
    </row>
    <row r="30" spans="1:28" x14ac:dyDescent="0.25">
      <c r="A30" s="9" t="s">
        <v>34</v>
      </c>
      <c r="B30" s="8">
        <v>1603158.5333333334</v>
      </c>
      <c r="C30" s="8">
        <v>2609904</v>
      </c>
      <c r="D30" s="8">
        <v>803351</v>
      </c>
      <c r="M30" s="19" t="s">
        <v>70</v>
      </c>
      <c r="N30" s="10">
        <v>1</v>
      </c>
      <c r="O30" s="10">
        <v>1</v>
      </c>
      <c r="P30" s="10"/>
      <c r="Q30" s="10">
        <v>1</v>
      </c>
      <c r="R30" s="10">
        <v>3</v>
      </c>
      <c r="AA30" s="17" t="s">
        <v>66</v>
      </c>
      <c r="AB30">
        <v>120</v>
      </c>
    </row>
    <row r="31" spans="1:28" x14ac:dyDescent="0.25">
      <c r="A31" s="9" t="s">
        <v>40</v>
      </c>
      <c r="B31" s="8">
        <v>1658084.4</v>
      </c>
      <c r="C31" s="8">
        <v>2740169</v>
      </c>
      <c r="D31" s="8">
        <v>358017</v>
      </c>
      <c r="M31" s="19" t="s">
        <v>33</v>
      </c>
      <c r="N31" s="10">
        <v>4</v>
      </c>
      <c r="O31" s="10">
        <v>2</v>
      </c>
      <c r="P31" s="10">
        <v>1</v>
      </c>
      <c r="Q31" s="10">
        <v>1</v>
      </c>
      <c r="R31" s="10">
        <v>8</v>
      </c>
      <c r="AA31" s="17" t="s">
        <v>81</v>
      </c>
      <c r="AB31">
        <v>195</v>
      </c>
    </row>
    <row r="32" spans="1:28" x14ac:dyDescent="0.25">
      <c r="A32" s="9" t="s">
        <v>91</v>
      </c>
      <c r="B32" s="8">
        <v>1698104.22</v>
      </c>
      <c r="C32" s="8">
        <v>2746588</v>
      </c>
      <c r="D32" s="8">
        <v>358017</v>
      </c>
      <c r="M32" s="19" t="s">
        <v>16</v>
      </c>
      <c r="N32" s="10">
        <v>1</v>
      </c>
      <c r="O32" s="10">
        <v>1</v>
      </c>
      <c r="P32" s="10">
        <v>2</v>
      </c>
      <c r="Q32" s="10">
        <v>3</v>
      </c>
      <c r="R32" s="10">
        <v>7</v>
      </c>
      <c r="AA32" s="17" t="s">
        <v>52</v>
      </c>
      <c r="AB32">
        <v>225</v>
      </c>
    </row>
    <row r="33" spans="1:28" x14ac:dyDescent="0.25">
      <c r="M33" s="19" t="s">
        <v>83</v>
      </c>
      <c r="N33" s="10">
        <v>1</v>
      </c>
      <c r="O33" s="10">
        <v>1</v>
      </c>
      <c r="P33" s="10"/>
      <c r="Q33" s="10">
        <v>1</v>
      </c>
      <c r="R33" s="10">
        <v>3</v>
      </c>
      <c r="AA33" s="17" t="s">
        <v>64</v>
      </c>
      <c r="AB33">
        <v>285</v>
      </c>
    </row>
    <row r="34" spans="1:28" x14ac:dyDescent="0.25">
      <c r="D34" s="16">
        <f>GETPIVOTDATA("Average of Salary",$A$23)</f>
        <v>1698104.22</v>
      </c>
      <c r="M34" s="19" t="s">
        <v>74</v>
      </c>
      <c r="N34" s="10"/>
      <c r="O34" s="10">
        <v>2</v>
      </c>
      <c r="P34" s="10">
        <v>2</v>
      </c>
      <c r="Q34" s="10"/>
      <c r="R34" s="10">
        <v>4</v>
      </c>
      <c r="AA34" s="17" t="s">
        <v>25</v>
      </c>
      <c r="AB34">
        <v>390</v>
      </c>
    </row>
    <row r="35" spans="1:28" x14ac:dyDescent="0.25">
      <c r="D35" s="16">
        <f>C32</f>
        <v>2746588</v>
      </c>
      <c r="M35" s="19" t="s">
        <v>66</v>
      </c>
      <c r="N35" s="10"/>
      <c r="O35" s="10">
        <v>1</v>
      </c>
      <c r="P35" s="10">
        <v>1</v>
      </c>
      <c r="Q35" s="10">
        <v>1</v>
      </c>
      <c r="R35" s="10">
        <v>3</v>
      </c>
      <c r="AA35" s="17" t="s">
        <v>88</v>
      </c>
      <c r="AB35">
        <v>210</v>
      </c>
    </row>
    <row r="36" spans="1:28" x14ac:dyDescent="0.25">
      <c r="D36" s="16">
        <f>GETPIVOTDATA("Min of Salary",$A$23)</f>
        <v>358017</v>
      </c>
      <c r="M36" s="19" t="s">
        <v>81</v>
      </c>
      <c r="N36" s="10"/>
      <c r="O36" s="10">
        <v>2</v>
      </c>
      <c r="P36" s="10">
        <v>2</v>
      </c>
      <c r="Q36" s="10">
        <v>1</v>
      </c>
      <c r="R36" s="10">
        <v>5</v>
      </c>
      <c r="AA36" s="17" t="s">
        <v>79</v>
      </c>
      <c r="AB36">
        <v>135</v>
      </c>
    </row>
    <row r="37" spans="1:28" x14ac:dyDescent="0.25">
      <c r="M37" s="19" t="s">
        <v>52</v>
      </c>
      <c r="N37" s="10"/>
      <c r="O37" s="10">
        <v>3</v>
      </c>
      <c r="P37" s="10"/>
      <c r="Q37" s="10">
        <v>2</v>
      </c>
      <c r="R37" s="10">
        <v>5</v>
      </c>
      <c r="AA37" s="17" t="s">
        <v>48</v>
      </c>
      <c r="AB37">
        <v>375</v>
      </c>
    </row>
    <row r="38" spans="1:28" x14ac:dyDescent="0.25">
      <c r="M38" s="19" t="s">
        <v>64</v>
      </c>
      <c r="N38" s="10">
        <v>1</v>
      </c>
      <c r="O38" s="10">
        <v>3</v>
      </c>
      <c r="P38" s="10">
        <v>1</v>
      </c>
      <c r="Q38" s="10"/>
      <c r="R38" s="10">
        <v>5</v>
      </c>
      <c r="AA38" s="17" t="s">
        <v>59</v>
      </c>
      <c r="AB38">
        <v>375</v>
      </c>
    </row>
    <row r="39" spans="1:28" x14ac:dyDescent="0.25">
      <c r="M39" s="19" t="s">
        <v>25</v>
      </c>
      <c r="N39" s="10">
        <v>2</v>
      </c>
      <c r="O39" s="10"/>
      <c r="P39" s="10">
        <v>5</v>
      </c>
      <c r="Q39" s="10">
        <v>1</v>
      </c>
      <c r="R39" s="10">
        <v>8</v>
      </c>
      <c r="AA39" s="2" t="s">
        <v>91</v>
      </c>
      <c r="AB39">
        <v>5310</v>
      </c>
    </row>
    <row r="40" spans="1:28" x14ac:dyDescent="0.25">
      <c r="M40" s="19" t="s">
        <v>88</v>
      </c>
      <c r="N40" s="10">
        <v>1</v>
      </c>
      <c r="O40" s="10">
        <v>1</v>
      </c>
      <c r="P40" s="10">
        <v>1</v>
      </c>
      <c r="Q40" s="10">
        <v>1</v>
      </c>
      <c r="R40" s="10">
        <v>4</v>
      </c>
      <c r="X40" s="1" t="s">
        <v>90</v>
      </c>
      <c r="Y40" t="s">
        <v>100</v>
      </c>
      <c r="Z40" t="s">
        <v>101</v>
      </c>
    </row>
    <row r="41" spans="1:28" x14ac:dyDescent="0.25">
      <c r="A41" s="12" t="s">
        <v>90</v>
      </c>
      <c r="B41" s="12" t="s">
        <v>97</v>
      </c>
      <c r="M41" s="19" t="s">
        <v>79</v>
      </c>
      <c r="N41" s="10"/>
      <c r="O41" s="10"/>
      <c r="P41" s="10">
        <v>1</v>
      </c>
      <c r="Q41" s="10">
        <v>2</v>
      </c>
      <c r="R41" s="10">
        <v>3</v>
      </c>
      <c r="X41" s="2" t="s">
        <v>105</v>
      </c>
      <c r="Y41">
        <v>156968897</v>
      </c>
      <c r="Z41">
        <v>187254537</v>
      </c>
    </row>
    <row r="42" spans="1:28" x14ac:dyDescent="0.25">
      <c r="A42" s="13" t="s">
        <v>57</v>
      </c>
      <c r="B42" s="12">
        <v>8</v>
      </c>
      <c r="M42" s="19" t="s">
        <v>48</v>
      </c>
      <c r="N42" s="10">
        <v>2</v>
      </c>
      <c r="O42" s="10">
        <v>1</v>
      </c>
      <c r="P42" s="10">
        <v>3</v>
      </c>
      <c r="Q42" s="10"/>
      <c r="R42" s="10">
        <v>6</v>
      </c>
      <c r="X42" s="17" t="s">
        <v>56</v>
      </c>
      <c r="Y42">
        <v>5694723</v>
      </c>
      <c r="Z42">
        <v>7533703</v>
      </c>
    </row>
    <row r="43" spans="1:28" x14ac:dyDescent="0.25">
      <c r="A43" s="13" t="s">
        <v>73</v>
      </c>
      <c r="B43" s="12">
        <v>17</v>
      </c>
      <c r="M43" s="19" t="s">
        <v>59</v>
      </c>
      <c r="N43" s="10">
        <v>4</v>
      </c>
      <c r="O43" s="10">
        <v>2</v>
      </c>
      <c r="P43" s="10">
        <v>1</v>
      </c>
      <c r="Q43" s="10">
        <v>2</v>
      </c>
      <c r="R43" s="10">
        <v>9</v>
      </c>
      <c r="X43" s="17" t="s">
        <v>87</v>
      </c>
      <c r="Y43">
        <v>4576158</v>
      </c>
      <c r="Z43">
        <v>5339194</v>
      </c>
    </row>
    <row r="44" spans="1:28" x14ac:dyDescent="0.25">
      <c r="A44" s="13" t="s">
        <v>54</v>
      </c>
      <c r="B44" s="12">
        <v>16</v>
      </c>
      <c r="M44" s="11" t="s">
        <v>91</v>
      </c>
      <c r="N44" s="10">
        <v>21</v>
      </c>
      <c r="O44" s="10">
        <v>28</v>
      </c>
      <c r="P44" s="10">
        <v>28</v>
      </c>
      <c r="Q44" s="10">
        <v>23</v>
      </c>
      <c r="R44" s="10">
        <v>100</v>
      </c>
      <c r="X44" s="17" t="s">
        <v>45</v>
      </c>
      <c r="Y44">
        <v>16084281</v>
      </c>
      <c r="Z44">
        <v>19220967</v>
      </c>
    </row>
    <row r="45" spans="1:28" x14ac:dyDescent="0.25">
      <c r="A45" s="13" t="s">
        <v>36</v>
      </c>
      <c r="B45" s="12">
        <v>16</v>
      </c>
      <c r="X45" s="17" t="s">
        <v>89</v>
      </c>
      <c r="Y45">
        <v>3510876</v>
      </c>
      <c r="Z45">
        <v>4236676</v>
      </c>
    </row>
    <row r="46" spans="1:28" x14ac:dyDescent="0.25">
      <c r="A46" s="13" t="s">
        <v>19</v>
      </c>
      <c r="B46" s="12">
        <v>15</v>
      </c>
      <c r="X46" s="17" t="s">
        <v>67</v>
      </c>
      <c r="Y46">
        <v>11774850</v>
      </c>
      <c r="Z46">
        <v>14177762</v>
      </c>
    </row>
    <row r="47" spans="1:28" x14ac:dyDescent="0.25">
      <c r="A47" s="13" t="s">
        <v>28</v>
      </c>
      <c r="B47" s="12">
        <v>20</v>
      </c>
      <c r="X47" s="17" t="s">
        <v>70</v>
      </c>
      <c r="Y47">
        <v>3777238</v>
      </c>
      <c r="Z47">
        <v>4711586</v>
      </c>
    </row>
    <row r="48" spans="1:28" x14ac:dyDescent="0.25">
      <c r="A48" s="13" t="s">
        <v>50</v>
      </c>
      <c r="B48" s="12">
        <v>8</v>
      </c>
      <c r="L48" s="1" t="s">
        <v>90</v>
      </c>
      <c r="M48" t="s">
        <v>97</v>
      </c>
      <c r="X48" s="17" t="s">
        <v>33</v>
      </c>
      <c r="Y48">
        <v>9926291</v>
      </c>
      <c r="Z48">
        <v>12394980</v>
      </c>
    </row>
    <row r="49" spans="1:27" x14ac:dyDescent="0.25">
      <c r="A49" s="13" t="s">
        <v>91</v>
      </c>
      <c r="B49" s="12">
        <v>100</v>
      </c>
      <c r="L49" s="15">
        <v>45764</v>
      </c>
      <c r="M49">
        <v>1</v>
      </c>
      <c r="X49" s="17" t="s">
        <v>16</v>
      </c>
      <c r="Y49">
        <v>12657704</v>
      </c>
      <c r="Z49">
        <v>14787635</v>
      </c>
    </row>
    <row r="50" spans="1:27" x14ac:dyDescent="0.25">
      <c r="L50" s="15">
        <v>45750</v>
      </c>
      <c r="M50">
        <v>2</v>
      </c>
      <c r="X50" s="17" t="s">
        <v>83</v>
      </c>
      <c r="Y50">
        <v>3898796</v>
      </c>
      <c r="Z50">
        <v>4778972</v>
      </c>
    </row>
    <row r="51" spans="1:27" x14ac:dyDescent="0.25">
      <c r="L51" s="15">
        <v>45710</v>
      </c>
      <c r="M51">
        <v>2</v>
      </c>
      <c r="X51" s="17" t="s">
        <v>74</v>
      </c>
      <c r="Y51">
        <v>6693585</v>
      </c>
      <c r="Z51">
        <v>7863618</v>
      </c>
    </row>
    <row r="52" spans="1:27" x14ac:dyDescent="0.25">
      <c r="L52" s="15">
        <v>45745</v>
      </c>
      <c r="M52">
        <v>3</v>
      </c>
      <c r="X52" s="17" t="s">
        <v>66</v>
      </c>
      <c r="Y52">
        <v>5574390</v>
      </c>
      <c r="Z52">
        <v>6466870</v>
      </c>
    </row>
    <row r="53" spans="1:27" x14ac:dyDescent="0.25">
      <c r="L53" s="15">
        <v>45756</v>
      </c>
      <c r="M53">
        <v>2</v>
      </c>
      <c r="X53" s="17" t="s">
        <v>81</v>
      </c>
      <c r="Y53">
        <v>8034197</v>
      </c>
      <c r="Z53">
        <v>9473693</v>
      </c>
    </row>
    <row r="54" spans="1:27" x14ac:dyDescent="0.25">
      <c r="A54" s="1" t="s">
        <v>90</v>
      </c>
      <c r="B54" t="s">
        <v>98</v>
      </c>
      <c r="L54" s="15">
        <v>45668</v>
      </c>
      <c r="M54">
        <v>1</v>
      </c>
      <c r="X54" s="17" t="s">
        <v>52</v>
      </c>
      <c r="Y54">
        <v>10044018</v>
      </c>
      <c r="Z54">
        <v>11366337</v>
      </c>
    </row>
    <row r="55" spans="1:27" x14ac:dyDescent="0.25">
      <c r="A55" s="2" t="s">
        <v>105</v>
      </c>
      <c r="B55">
        <v>356</v>
      </c>
      <c r="L55" s="15">
        <v>45733</v>
      </c>
      <c r="M55">
        <v>1</v>
      </c>
      <c r="X55" s="17" t="s">
        <v>64</v>
      </c>
      <c r="Y55">
        <v>6676733</v>
      </c>
      <c r="Z55">
        <v>8129528</v>
      </c>
    </row>
    <row r="56" spans="1:27" x14ac:dyDescent="0.25">
      <c r="A56" s="17" t="s">
        <v>16</v>
      </c>
      <c r="B56">
        <v>37</v>
      </c>
      <c r="L56" s="15">
        <v>45803</v>
      </c>
      <c r="M56">
        <v>1</v>
      </c>
      <c r="X56" s="17" t="s">
        <v>25</v>
      </c>
      <c r="Y56">
        <v>14317172</v>
      </c>
      <c r="Z56">
        <v>16804694</v>
      </c>
    </row>
    <row r="57" spans="1:27" x14ac:dyDescent="0.25">
      <c r="A57" s="17" t="s">
        <v>59</v>
      </c>
      <c r="B57">
        <v>36</v>
      </c>
      <c r="L57" s="15">
        <v>45697</v>
      </c>
      <c r="M57">
        <v>3</v>
      </c>
      <c r="X57" s="17" t="s">
        <v>88</v>
      </c>
      <c r="Y57">
        <v>5132074</v>
      </c>
      <c r="Z57">
        <v>6292836</v>
      </c>
    </row>
    <row r="58" spans="1:27" x14ac:dyDescent="0.25">
      <c r="A58" s="17" t="s">
        <v>45</v>
      </c>
      <c r="B58">
        <v>34</v>
      </c>
      <c r="L58" s="15">
        <v>45712</v>
      </c>
      <c r="M58">
        <v>2</v>
      </c>
      <c r="X58" s="17" t="s">
        <v>79</v>
      </c>
      <c r="Y58">
        <v>4763885</v>
      </c>
      <c r="Z58">
        <v>5688793</v>
      </c>
    </row>
    <row r="59" spans="1:27" x14ac:dyDescent="0.25">
      <c r="A59" s="17" t="s">
        <v>25</v>
      </c>
      <c r="B59">
        <v>28</v>
      </c>
      <c r="L59" s="15">
        <v>45795</v>
      </c>
      <c r="M59">
        <v>1</v>
      </c>
      <c r="X59" s="17" t="s">
        <v>48</v>
      </c>
      <c r="Y59">
        <v>9699072</v>
      </c>
      <c r="Z59">
        <v>10981821</v>
      </c>
    </row>
    <row r="60" spans="1:27" x14ac:dyDescent="0.25">
      <c r="A60" s="17" t="s">
        <v>33</v>
      </c>
      <c r="B60">
        <v>27</v>
      </c>
      <c r="L60" s="15">
        <v>45686</v>
      </c>
      <c r="M60">
        <v>3</v>
      </c>
      <c r="X60" s="17" t="s">
        <v>59</v>
      </c>
      <c r="Y60">
        <v>14132854</v>
      </c>
      <c r="Z60">
        <v>17004872</v>
      </c>
    </row>
    <row r="61" spans="1:27" x14ac:dyDescent="0.25">
      <c r="A61" s="17" t="s">
        <v>67</v>
      </c>
      <c r="B61">
        <v>24</v>
      </c>
      <c r="L61" s="15">
        <v>45690</v>
      </c>
      <c r="M61">
        <v>1</v>
      </c>
      <c r="X61" s="2" t="s">
        <v>91</v>
      </c>
      <c r="Y61">
        <v>156968897</v>
      </c>
      <c r="Z61">
        <v>187254537</v>
      </c>
    </row>
    <row r="62" spans="1:27" x14ac:dyDescent="0.25">
      <c r="A62" s="17" t="s">
        <v>48</v>
      </c>
      <c r="B62">
        <v>21</v>
      </c>
      <c r="L62" s="15">
        <v>45802</v>
      </c>
      <c r="M62">
        <v>1</v>
      </c>
    </row>
    <row r="63" spans="1:27" x14ac:dyDescent="0.25">
      <c r="A63" s="17" t="s">
        <v>88</v>
      </c>
      <c r="B63">
        <v>19</v>
      </c>
      <c r="L63" s="15">
        <v>45761</v>
      </c>
      <c r="M63">
        <v>1</v>
      </c>
    </row>
    <row r="64" spans="1:27" x14ac:dyDescent="0.25">
      <c r="A64" s="17" t="s">
        <v>52</v>
      </c>
      <c r="B64">
        <v>19</v>
      </c>
      <c r="L64" s="15">
        <v>45749</v>
      </c>
      <c r="M64">
        <v>1</v>
      </c>
      <c r="Y64" s="1" t="s">
        <v>90</v>
      </c>
      <c r="Z64" t="s">
        <v>98</v>
      </c>
      <c r="AA64" t="s">
        <v>104</v>
      </c>
    </row>
    <row r="65" spans="1:27" x14ac:dyDescent="0.25">
      <c r="A65" s="17" t="s">
        <v>64</v>
      </c>
      <c r="B65">
        <v>17</v>
      </c>
      <c r="L65" s="15">
        <v>45797</v>
      </c>
      <c r="M65">
        <v>1</v>
      </c>
      <c r="O65" s="1" t="s">
        <v>90</v>
      </c>
      <c r="P65" t="s">
        <v>102</v>
      </c>
      <c r="Y65" s="2" t="s">
        <v>63</v>
      </c>
      <c r="Z65">
        <v>83</v>
      </c>
      <c r="AA65">
        <v>1857</v>
      </c>
    </row>
    <row r="66" spans="1:27" x14ac:dyDescent="0.25">
      <c r="A66" s="17" t="s">
        <v>81</v>
      </c>
      <c r="B66">
        <v>15</v>
      </c>
      <c r="L66" s="15">
        <v>45769</v>
      </c>
      <c r="M66">
        <v>2</v>
      </c>
      <c r="O66" s="2" t="s">
        <v>38</v>
      </c>
      <c r="P66">
        <v>10</v>
      </c>
      <c r="Y66" s="2" t="s">
        <v>20</v>
      </c>
      <c r="Z66">
        <v>86</v>
      </c>
      <c r="AA66">
        <v>1665</v>
      </c>
    </row>
    <row r="67" spans="1:27" x14ac:dyDescent="0.25">
      <c r="A67" s="17" t="s">
        <v>74</v>
      </c>
      <c r="B67">
        <v>15</v>
      </c>
      <c r="L67" s="15">
        <v>45753</v>
      </c>
      <c r="M67">
        <v>2</v>
      </c>
      <c r="O67" s="2" t="s">
        <v>58</v>
      </c>
      <c r="P67">
        <v>11</v>
      </c>
      <c r="Y67" s="2" t="s">
        <v>41</v>
      </c>
      <c r="Z67">
        <v>76</v>
      </c>
      <c r="AA67">
        <v>1512</v>
      </c>
    </row>
    <row r="68" spans="1:27" x14ac:dyDescent="0.25">
      <c r="A68" s="17" t="s">
        <v>66</v>
      </c>
      <c r="B68">
        <v>13</v>
      </c>
      <c r="L68" s="15">
        <v>45678</v>
      </c>
      <c r="M68">
        <v>2</v>
      </c>
      <c r="O68" s="2" t="s">
        <v>21</v>
      </c>
      <c r="P68">
        <v>11</v>
      </c>
      <c r="Y68" s="2" t="s">
        <v>37</v>
      </c>
      <c r="Z68">
        <v>111</v>
      </c>
      <c r="AA68">
        <v>2646</v>
      </c>
    </row>
    <row r="69" spans="1:27" x14ac:dyDescent="0.25">
      <c r="A69" s="17" t="s">
        <v>79</v>
      </c>
      <c r="B69">
        <v>12</v>
      </c>
      <c r="L69" s="15">
        <v>45776</v>
      </c>
      <c r="M69">
        <v>1</v>
      </c>
      <c r="O69" s="2" t="s">
        <v>29</v>
      </c>
      <c r="P69">
        <v>18</v>
      </c>
      <c r="Y69" s="2" t="s">
        <v>91</v>
      </c>
      <c r="Z69">
        <v>356</v>
      </c>
      <c r="AA69">
        <v>7680</v>
      </c>
    </row>
    <row r="70" spans="1:27" x14ac:dyDescent="0.25">
      <c r="A70" s="17" t="s">
        <v>89</v>
      </c>
      <c r="B70">
        <v>11</v>
      </c>
      <c r="L70" s="15">
        <v>45773</v>
      </c>
      <c r="M70">
        <v>2</v>
      </c>
      <c r="O70" s="2" t="s">
        <v>71</v>
      </c>
      <c r="P70">
        <v>10</v>
      </c>
    </row>
    <row r="71" spans="1:27" x14ac:dyDescent="0.25">
      <c r="A71" s="17" t="s">
        <v>83</v>
      </c>
      <c r="B71">
        <v>10</v>
      </c>
      <c r="L71" s="15">
        <v>45762</v>
      </c>
      <c r="M71">
        <v>2</v>
      </c>
      <c r="O71" s="2" t="s">
        <v>60</v>
      </c>
      <c r="P71">
        <v>13</v>
      </c>
    </row>
    <row r="72" spans="1:27" x14ac:dyDescent="0.25">
      <c r="A72" s="17" t="s">
        <v>56</v>
      </c>
      <c r="B72">
        <v>9</v>
      </c>
      <c r="L72" s="15">
        <v>45699</v>
      </c>
      <c r="M72">
        <v>2</v>
      </c>
      <c r="O72" s="2" t="s">
        <v>46</v>
      </c>
      <c r="P72">
        <v>13</v>
      </c>
    </row>
    <row r="73" spans="1:27" x14ac:dyDescent="0.25">
      <c r="A73" s="17" t="s">
        <v>70</v>
      </c>
      <c r="B73">
        <v>6</v>
      </c>
      <c r="L73" s="15">
        <v>45758</v>
      </c>
      <c r="M73">
        <v>4</v>
      </c>
      <c r="O73" s="2" t="s">
        <v>42</v>
      </c>
      <c r="P73">
        <v>14</v>
      </c>
    </row>
    <row r="74" spans="1:27" x14ac:dyDescent="0.25">
      <c r="A74" s="17" t="s">
        <v>87</v>
      </c>
      <c r="B74">
        <v>3</v>
      </c>
      <c r="L74" s="15">
        <v>45730</v>
      </c>
      <c r="M74">
        <v>2</v>
      </c>
      <c r="O74" s="2" t="s">
        <v>91</v>
      </c>
      <c r="P74">
        <v>100</v>
      </c>
    </row>
    <row r="75" spans="1:27" x14ac:dyDescent="0.25">
      <c r="A75" s="2" t="s">
        <v>91</v>
      </c>
      <c r="B75">
        <v>356</v>
      </c>
      <c r="L75" s="15">
        <v>45755</v>
      </c>
      <c r="M75">
        <v>1</v>
      </c>
    </row>
    <row r="76" spans="1:27" x14ac:dyDescent="0.25">
      <c r="L76" s="15">
        <v>45771</v>
      </c>
      <c r="M76">
        <v>1</v>
      </c>
    </row>
    <row r="77" spans="1:27" x14ac:dyDescent="0.25">
      <c r="L77" s="15">
        <v>45784</v>
      </c>
      <c r="M77">
        <v>1</v>
      </c>
    </row>
    <row r="78" spans="1:27" x14ac:dyDescent="0.25">
      <c r="L78" s="15">
        <v>45798</v>
      </c>
      <c r="M78">
        <v>1</v>
      </c>
    </row>
    <row r="79" spans="1:27" x14ac:dyDescent="0.25">
      <c r="L79" s="15">
        <v>45790</v>
      </c>
      <c r="M79">
        <v>1</v>
      </c>
    </row>
    <row r="80" spans="1:27" x14ac:dyDescent="0.25">
      <c r="L80" s="15">
        <v>45796</v>
      </c>
      <c r="M80">
        <v>2</v>
      </c>
      <c r="O80">
        <f>COUNTA(Table1[Company])</f>
        <v>100</v>
      </c>
      <c r="P80">
        <f>O80</f>
        <v>100</v>
      </c>
      <c r="Y80" s="1" t="s">
        <v>90</v>
      </c>
      <c r="Z80" t="s">
        <v>97</v>
      </c>
    </row>
    <row r="81" spans="12:26" x14ac:dyDescent="0.25">
      <c r="L81" s="15">
        <v>45735</v>
      </c>
      <c r="M81">
        <v>1</v>
      </c>
      <c r="O81">
        <f>COUNTIF(Table1[Status],"Interview")</f>
        <v>28</v>
      </c>
      <c r="P81">
        <f>O81</f>
        <v>28</v>
      </c>
      <c r="Y81" s="2" t="s">
        <v>38</v>
      </c>
      <c r="Z81">
        <v>10</v>
      </c>
    </row>
    <row r="82" spans="12:26" x14ac:dyDescent="0.25">
      <c r="L82" s="15">
        <v>45739</v>
      </c>
      <c r="M82">
        <v>2</v>
      </c>
      <c r="O82">
        <f>COUNTIF(Table1[Status],"Offer")</f>
        <v>28</v>
      </c>
      <c r="P82">
        <f>O82</f>
        <v>28</v>
      </c>
      <c r="Y82" s="2" t="s">
        <v>58</v>
      </c>
      <c r="Z82">
        <v>11</v>
      </c>
    </row>
    <row r="83" spans="12:26" x14ac:dyDescent="0.25">
      <c r="L83" s="15">
        <v>45782</v>
      </c>
      <c r="M83">
        <v>1</v>
      </c>
      <c r="Y83" s="2" t="s">
        <v>21</v>
      </c>
      <c r="Z83">
        <v>11</v>
      </c>
    </row>
    <row r="84" spans="12:26" x14ac:dyDescent="0.25">
      <c r="L84" s="15">
        <v>45669</v>
      </c>
      <c r="M84">
        <v>1</v>
      </c>
      <c r="O84" s="1" t="s">
        <v>90</v>
      </c>
      <c r="P84" t="s">
        <v>92</v>
      </c>
      <c r="Y84" s="2" t="s">
        <v>29</v>
      </c>
      <c r="Z84">
        <v>18</v>
      </c>
    </row>
    <row r="85" spans="12:26" x14ac:dyDescent="0.25">
      <c r="L85" s="15">
        <v>45684</v>
      </c>
      <c r="M85">
        <v>1</v>
      </c>
      <c r="O85" s="2" t="s">
        <v>45</v>
      </c>
      <c r="P85">
        <v>10</v>
      </c>
      <c r="Y85" s="2" t="s">
        <v>71</v>
      </c>
      <c r="Z85">
        <v>10</v>
      </c>
    </row>
    <row r="86" spans="12:26" x14ac:dyDescent="0.25">
      <c r="L86" s="15">
        <v>45687</v>
      </c>
      <c r="M86">
        <v>1</v>
      </c>
      <c r="O86" s="2" t="s">
        <v>59</v>
      </c>
      <c r="P86">
        <v>9</v>
      </c>
      <c r="Y86" s="2" t="s">
        <v>60</v>
      </c>
      <c r="Z86">
        <v>13</v>
      </c>
    </row>
    <row r="87" spans="12:26" x14ac:dyDescent="0.25">
      <c r="L87" s="15">
        <v>45786</v>
      </c>
      <c r="M87">
        <v>1</v>
      </c>
      <c r="O87" s="2" t="s">
        <v>33</v>
      </c>
      <c r="P87">
        <v>8</v>
      </c>
      <c r="Y87" s="2" t="s">
        <v>46</v>
      </c>
      <c r="Z87">
        <v>13</v>
      </c>
    </row>
    <row r="88" spans="12:26" x14ac:dyDescent="0.25">
      <c r="L88" s="15">
        <v>45696</v>
      </c>
      <c r="M88">
        <v>1</v>
      </c>
      <c r="O88" s="2" t="s">
        <v>25</v>
      </c>
      <c r="P88">
        <v>8</v>
      </c>
      <c r="Y88" s="2" t="s">
        <v>42</v>
      </c>
      <c r="Z88">
        <v>14</v>
      </c>
    </row>
    <row r="89" spans="12:26" x14ac:dyDescent="0.25">
      <c r="L89" s="15">
        <v>45728</v>
      </c>
      <c r="M89">
        <v>2</v>
      </c>
      <c r="O89" s="2" t="s">
        <v>67</v>
      </c>
      <c r="P89">
        <v>8</v>
      </c>
      <c r="Y89" s="2" t="s">
        <v>91</v>
      </c>
      <c r="Z89">
        <v>100</v>
      </c>
    </row>
    <row r="90" spans="12:26" x14ac:dyDescent="0.25">
      <c r="L90" s="15">
        <v>45787</v>
      </c>
      <c r="M90">
        <v>1</v>
      </c>
      <c r="O90" s="2" t="s">
        <v>16</v>
      </c>
      <c r="P90">
        <v>7</v>
      </c>
    </row>
    <row r="91" spans="12:26" x14ac:dyDescent="0.25">
      <c r="L91" s="15">
        <v>45658</v>
      </c>
      <c r="M91">
        <v>3</v>
      </c>
      <c r="O91" s="2" t="s">
        <v>48</v>
      </c>
      <c r="P91">
        <v>6</v>
      </c>
    </row>
    <row r="92" spans="12:26" x14ac:dyDescent="0.25">
      <c r="L92" s="15">
        <v>45706</v>
      </c>
      <c r="M92">
        <v>1</v>
      </c>
      <c r="O92" s="2" t="s">
        <v>64</v>
      </c>
      <c r="P92">
        <v>5</v>
      </c>
    </row>
    <row r="93" spans="12:26" x14ac:dyDescent="0.25">
      <c r="L93" s="15">
        <v>45659</v>
      </c>
      <c r="M93">
        <v>1</v>
      </c>
      <c r="O93" s="2" t="s">
        <v>81</v>
      </c>
      <c r="P93">
        <v>5</v>
      </c>
    </row>
    <row r="94" spans="12:26" x14ac:dyDescent="0.25">
      <c r="L94" s="15">
        <v>45746</v>
      </c>
      <c r="M94">
        <v>1</v>
      </c>
      <c r="O94" s="2" t="s">
        <v>52</v>
      </c>
      <c r="P94">
        <v>5</v>
      </c>
    </row>
    <row r="95" spans="12:26" x14ac:dyDescent="0.25">
      <c r="L95" s="15">
        <v>45662</v>
      </c>
      <c r="M95">
        <v>1</v>
      </c>
      <c r="O95" s="2" t="s">
        <v>56</v>
      </c>
      <c r="P95">
        <v>5</v>
      </c>
      <c r="Y95" s="1" t="s">
        <v>90</v>
      </c>
      <c r="Z95" t="s">
        <v>102</v>
      </c>
    </row>
    <row r="96" spans="12:26" x14ac:dyDescent="0.25">
      <c r="L96" s="15">
        <v>45716</v>
      </c>
      <c r="M96">
        <v>1</v>
      </c>
      <c r="O96" s="2" t="s">
        <v>88</v>
      </c>
      <c r="P96">
        <v>4</v>
      </c>
      <c r="Y96" s="2">
        <v>1</v>
      </c>
      <c r="Z96">
        <v>13</v>
      </c>
    </row>
    <row r="97" spans="1:26" x14ac:dyDescent="0.25">
      <c r="L97" s="15">
        <v>45743</v>
      </c>
      <c r="M97">
        <v>1</v>
      </c>
      <c r="O97" s="2" t="s">
        <v>74</v>
      </c>
      <c r="P97">
        <v>4</v>
      </c>
      <c r="Y97" s="2">
        <v>2</v>
      </c>
      <c r="Z97">
        <v>21</v>
      </c>
    </row>
    <row r="98" spans="1:26" x14ac:dyDescent="0.25">
      <c r="A98" s="1" t="s">
        <v>90</v>
      </c>
      <c r="B98" t="s">
        <v>106</v>
      </c>
      <c r="L98" s="15">
        <v>45785</v>
      </c>
      <c r="M98">
        <v>1</v>
      </c>
      <c r="O98" s="2" t="s">
        <v>79</v>
      </c>
      <c r="P98">
        <v>3</v>
      </c>
      <c r="Y98" s="2">
        <v>3</v>
      </c>
      <c r="Z98">
        <v>15</v>
      </c>
    </row>
    <row r="99" spans="1:26" x14ac:dyDescent="0.25">
      <c r="A99" s="2" t="s">
        <v>56</v>
      </c>
      <c r="B99" s="16">
        <v>6448521</v>
      </c>
      <c r="L99" s="15">
        <v>45783</v>
      </c>
      <c r="M99">
        <v>1</v>
      </c>
      <c r="O99" s="2" t="s">
        <v>83</v>
      </c>
      <c r="P99">
        <v>3</v>
      </c>
      <c r="Y99" s="2">
        <v>4</v>
      </c>
      <c r="Z99">
        <v>14</v>
      </c>
    </row>
    <row r="100" spans="1:26" x14ac:dyDescent="0.25">
      <c r="A100" s="2" t="s">
        <v>87</v>
      </c>
      <c r="B100" s="16">
        <v>4806445</v>
      </c>
      <c r="L100" s="15">
        <v>45688</v>
      </c>
      <c r="M100">
        <v>1</v>
      </c>
      <c r="O100" s="2" t="s">
        <v>70</v>
      </c>
      <c r="P100">
        <v>3</v>
      </c>
      <c r="Y100" s="2">
        <v>5</v>
      </c>
      <c r="Z100">
        <v>22</v>
      </c>
    </row>
    <row r="101" spans="1:26" x14ac:dyDescent="0.25">
      <c r="A101" s="2" t="s">
        <v>45</v>
      </c>
      <c r="B101" s="16">
        <v>17459922</v>
      </c>
      <c r="L101" s="15">
        <v>45740</v>
      </c>
      <c r="M101">
        <v>1</v>
      </c>
      <c r="O101" s="2" t="s">
        <v>66</v>
      </c>
      <c r="P101">
        <v>3</v>
      </c>
      <c r="Y101" s="2">
        <v>6</v>
      </c>
      <c r="Z101">
        <v>15</v>
      </c>
    </row>
    <row r="102" spans="1:26" x14ac:dyDescent="0.25">
      <c r="A102" s="2" t="s">
        <v>89</v>
      </c>
      <c r="B102" s="16">
        <v>3775223</v>
      </c>
      <c r="L102" s="15">
        <v>45780</v>
      </c>
      <c r="M102">
        <v>1</v>
      </c>
      <c r="O102" s="2" t="s">
        <v>87</v>
      </c>
      <c r="P102">
        <v>2</v>
      </c>
      <c r="Y102" s="2" t="s">
        <v>91</v>
      </c>
      <c r="Z102">
        <v>100</v>
      </c>
    </row>
    <row r="103" spans="1:26" x14ac:dyDescent="0.25">
      <c r="A103" s="2" t="s">
        <v>67</v>
      </c>
      <c r="B103" s="16">
        <v>12881080</v>
      </c>
      <c r="L103" s="15">
        <v>45667</v>
      </c>
      <c r="M103">
        <v>1</v>
      </c>
      <c r="O103" s="2" t="s">
        <v>89</v>
      </c>
      <c r="P103">
        <v>2</v>
      </c>
    </row>
    <row r="104" spans="1:26" x14ac:dyDescent="0.25">
      <c r="A104" s="2" t="s">
        <v>70</v>
      </c>
      <c r="B104" s="16">
        <v>4180942</v>
      </c>
      <c r="L104" s="15">
        <v>45768</v>
      </c>
      <c r="M104">
        <v>1</v>
      </c>
      <c r="O104" s="2" t="s">
        <v>91</v>
      </c>
      <c r="P104">
        <v>100</v>
      </c>
    </row>
    <row r="105" spans="1:26" x14ac:dyDescent="0.25">
      <c r="A105" s="2" t="s">
        <v>33</v>
      </c>
      <c r="B105" s="16">
        <v>11022568</v>
      </c>
      <c r="L105" s="15">
        <v>45675</v>
      </c>
      <c r="M105">
        <v>1</v>
      </c>
      <c r="O105" s="1" t="s">
        <v>90</v>
      </c>
      <c r="P105" t="s">
        <v>97</v>
      </c>
    </row>
    <row r="106" spans="1:26" x14ac:dyDescent="0.25">
      <c r="A106" s="2" t="s">
        <v>16</v>
      </c>
      <c r="B106" s="16">
        <v>13604875</v>
      </c>
      <c r="L106" s="15">
        <v>45792</v>
      </c>
      <c r="M106">
        <v>1</v>
      </c>
      <c r="O106" s="2">
        <v>1</v>
      </c>
      <c r="P106">
        <v>13</v>
      </c>
    </row>
    <row r="107" spans="1:26" x14ac:dyDescent="0.25">
      <c r="A107" s="2" t="s">
        <v>83</v>
      </c>
      <c r="B107" s="16">
        <v>4408856</v>
      </c>
      <c r="L107" s="15">
        <v>45663</v>
      </c>
      <c r="M107">
        <v>1</v>
      </c>
      <c r="O107" s="2">
        <v>2</v>
      </c>
      <c r="P107">
        <v>21</v>
      </c>
    </row>
    <row r="108" spans="1:26" x14ac:dyDescent="0.25">
      <c r="A108" s="2" t="s">
        <v>74</v>
      </c>
      <c r="B108" s="16">
        <v>7086221</v>
      </c>
      <c r="L108" s="15">
        <v>45727</v>
      </c>
      <c r="M108">
        <v>2</v>
      </c>
      <c r="O108" s="2">
        <v>3</v>
      </c>
      <c r="P108">
        <v>15</v>
      </c>
    </row>
    <row r="109" spans="1:26" x14ac:dyDescent="0.25">
      <c r="A109" s="2" t="s">
        <v>66</v>
      </c>
      <c r="B109" s="16">
        <v>5911195</v>
      </c>
      <c r="L109" s="15">
        <v>45729</v>
      </c>
      <c r="M109">
        <v>1</v>
      </c>
      <c r="O109" s="2">
        <v>4</v>
      </c>
      <c r="P109">
        <v>14</v>
      </c>
    </row>
    <row r="110" spans="1:26" x14ac:dyDescent="0.25">
      <c r="A110" s="2" t="s">
        <v>81</v>
      </c>
      <c r="B110" s="16">
        <v>8572034</v>
      </c>
      <c r="L110" s="15">
        <v>45703</v>
      </c>
      <c r="M110">
        <v>1</v>
      </c>
      <c r="O110" s="2">
        <v>5</v>
      </c>
      <c r="P110">
        <v>22</v>
      </c>
    </row>
    <row r="111" spans="1:26" x14ac:dyDescent="0.25">
      <c r="A111" s="2" t="s">
        <v>52</v>
      </c>
      <c r="B111" s="16">
        <v>10508468</v>
      </c>
      <c r="L111" s="15">
        <v>45725</v>
      </c>
      <c r="M111">
        <v>1</v>
      </c>
      <c r="O111" s="2">
        <v>6</v>
      </c>
      <c r="P111">
        <v>15</v>
      </c>
    </row>
    <row r="112" spans="1:26" x14ac:dyDescent="0.25">
      <c r="A112" s="2" t="s">
        <v>64</v>
      </c>
      <c r="B112" s="16">
        <v>7370978</v>
      </c>
      <c r="L112" s="15">
        <v>45714</v>
      </c>
      <c r="M112">
        <v>1</v>
      </c>
      <c r="O112" s="2" t="s">
        <v>91</v>
      </c>
      <c r="P112">
        <v>100</v>
      </c>
    </row>
    <row r="113" spans="1:13" x14ac:dyDescent="0.25">
      <c r="A113" s="2" t="s">
        <v>25</v>
      </c>
      <c r="B113" s="16">
        <v>15271795</v>
      </c>
      <c r="L113" s="15">
        <v>45759</v>
      </c>
      <c r="M113">
        <v>1</v>
      </c>
    </row>
    <row r="114" spans="1:13" x14ac:dyDescent="0.25">
      <c r="A114" s="2" t="s">
        <v>88</v>
      </c>
      <c r="B114" s="16">
        <v>5550944</v>
      </c>
      <c r="L114" s="15">
        <v>45806</v>
      </c>
      <c r="M114">
        <v>1</v>
      </c>
    </row>
    <row r="115" spans="1:13" x14ac:dyDescent="0.25">
      <c r="A115" s="2" t="s">
        <v>79</v>
      </c>
      <c r="B115" s="16">
        <v>5101943</v>
      </c>
      <c r="L115" s="15">
        <v>45738</v>
      </c>
      <c r="M115">
        <v>1</v>
      </c>
    </row>
    <row r="116" spans="1:13" x14ac:dyDescent="0.25">
      <c r="A116" s="2" t="s">
        <v>48</v>
      </c>
      <c r="B116" s="16">
        <v>10405319</v>
      </c>
      <c r="L116" s="15">
        <v>45718</v>
      </c>
      <c r="M116">
        <v>1</v>
      </c>
    </row>
    <row r="117" spans="1:13" x14ac:dyDescent="0.25">
      <c r="A117" s="2" t="s">
        <v>59</v>
      </c>
      <c r="B117" s="16">
        <v>15443093</v>
      </c>
      <c r="L117" s="15">
        <v>45705</v>
      </c>
      <c r="M117">
        <v>2</v>
      </c>
    </row>
    <row r="118" spans="1:13" x14ac:dyDescent="0.25">
      <c r="A118" s="2" t="s">
        <v>91</v>
      </c>
      <c r="B118" s="16">
        <v>169810422</v>
      </c>
      <c r="L118" s="15">
        <v>45661</v>
      </c>
      <c r="M118">
        <v>1</v>
      </c>
    </row>
    <row r="119" spans="1:13" x14ac:dyDescent="0.25">
      <c r="L119" s="15">
        <v>45779</v>
      </c>
      <c r="M119">
        <v>1</v>
      </c>
    </row>
    <row r="120" spans="1:13" x14ac:dyDescent="0.25">
      <c r="L120" s="15">
        <v>45701</v>
      </c>
      <c r="M120">
        <v>1</v>
      </c>
    </row>
    <row r="121" spans="1:13" x14ac:dyDescent="0.25">
      <c r="A121" s="1" t="s">
        <v>90</v>
      </c>
      <c r="B121" t="s">
        <v>106</v>
      </c>
      <c r="L121" s="15">
        <v>45676</v>
      </c>
      <c r="M121">
        <v>1</v>
      </c>
    </row>
    <row r="122" spans="1:13" x14ac:dyDescent="0.25">
      <c r="A122" s="2">
        <v>1</v>
      </c>
      <c r="B122" s="16">
        <v>21599189</v>
      </c>
      <c r="L122" s="2" t="s">
        <v>91</v>
      </c>
      <c r="M122">
        <v>100</v>
      </c>
    </row>
    <row r="123" spans="1:13" x14ac:dyDescent="0.25">
      <c r="A123" s="2">
        <v>2</v>
      </c>
      <c r="B123" s="16">
        <v>31003918</v>
      </c>
    </row>
    <row r="124" spans="1:13" x14ac:dyDescent="0.25">
      <c r="A124" s="2">
        <v>3</v>
      </c>
      <c r="B124" s="16">
        <v>28279080</v>
      </c>
    </row>
    <row r="125" spans="1:13" x14ac:dyDescent="0.25">
      <c r="A125" s="2">
        <v>4</v>
      </c>
      <c r="B125" s="16">
        <v>21946038</v>
      </c>
    </row>
    <row r="126" spans="1:13" x14ac:dyDescent="0.25">
      <c r="A126" s="2">
        <v>5</v>
      </c>
      <c r="B126" s="16">
        <v>37045267</v>
      </c>
    </row>
    <row r="127" spans="1:13" x14ac:dyDescent="0.25">
      <c r="A127" s="2">
        <v>6</v>
      </c>
      <c r="B127" s="16">
        <v>29936930</v>
      </c>
    </row>
    <row r="128" spans="1:13" x14ac:dyDescent="0.25">
      <c r="A128" s="2" t="s">
        <v>91</v>
      </c>
      <c r="B128" s="16">
        <v>169810422</v>
      </c>
    </row>
  </sheetData>
  <pageMargins left="0.7" right="0.7" top="0.75" bottom="0.75" header="0.3" footer="0.3"/>
  <drawing r:id="rId19"/>
  <extLst>
    <ext xmlns:x14="http://schemas.microsoft.com/office/spreadsheetml/2009/9/main" uri="{A8765BA9-456A-4dab-B4F3-ACF838C121DE}">
      <x14:slicerList>
        <x14:slicer r:id="rId20"/>
      </x14:slicerList>
    </ext>
    <ext xmlns:x15="http://schemas.microsoft.com/office/spreadsheetml/2010/11/main" uri="{7E03D99C-DC04-49d9-9315-930204A7B6E9}">
      <x15:timelineRefs>
        <x15:timelineRef r:id="rId21"/>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Job Data</vt:lpstr>
      <vt:lpstr>Dashboard</vt:lpstr>
      <vt:lpstr>Recruitment</vt:lpstr>
      <vt:lpstr>Experience</vt:lpstr>
      <vt:lpstr>Salary</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Bharath Kumar</cp:lastModifiedBy>
  <cp:lastPrinted>2026-04-14T06:14:22Z</cp:lastPrinted>
  <dcterms:created xsi:type="dcterms:W3CDTF">2026-03-27T05:19:22Z</dcterms:created>
  <dcterms:modified xsi:type="dcterms:W3CDTF">2026-04-14T06:20:26Z</dcterms:modified>
</cp:coreProperties>
</file>